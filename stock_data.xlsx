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A:\New folder\python_finance\SAPM proj\"/>
    </mc:Choice>
  </mc:AlternateContent>
  <xr:revisionPtr revIDLastSave="0" documentId="13_ncr:1_{790E8BF2-4080-4DA6-87A4-B087C825A8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50" sheetId="6" r:id="rId1"/>
    <sheet name="Godrej" sheetId="1" r:id="rId2"/>
    <sheet name="AstraZeneca" sheetId="2" r:id="rId3"/>
    <sheet name="Coforge" sheetId="3" r:id="rId4"/>
    <sheet name="Brigade" sheetId="4" r:id="rId5"/>
    <sheet name="GujaratGas" sheetId="5" r:id="rId6"/>
    <sheet name="Covariance and Correlation" sheetId="7" r:id="rId7"/>
    <sheet name="Risk-Free Rate" sheetId="8" r:id="rId8"/>
    <sheet name="Nvidia" sheetId="9" r:id="rId9"/>
    <sheet name="Corr &amp; Cov - New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6" l="1"/>
  <c r="O18" i="10"/>
  <c r="L6" i="9"/>
  <c r="H4" i="5"/>
  <c r="O22" i="10"/>
  <c r="O21" i="10"/>
  <c r="O20" i="10"/>
  <c r="O19" i="10"/>
  <c r="O9" i="10"/>
  <c r="O8" i="10"/>
  <c r="O7" i="10"/>
  <c r="O6" i="10"/>
  <c r="O23" i="10"/>
  <c r="O5" i="10"/>
  <c r="N22" i="10"/>
  <c r="N21" i="10"/>
  <c r="M21" i="10"/>
  <c r="N20" i="10"/>
  <c r="M20" i="10"/>
  <c r="L20" i="10"/>
  <c r="N19" i="10"/>
  <c r="M19" i="10"/>
  <c r="L19" i="10"/>
  <c r="K19" i="10"/>
  <c r="N18" i="10"/>
  <c r="M18" i="10"/>
  <c r="L18" i="10"/>
  <c r="K18" i="10"/>
  <c r="J18" i="10"/>
  <c r="N8" i="10"/>
  <c r="N7" i="10"/>
  <c r="M7" i="10"/>
  <c r="N6" i="10"/>
  <c r="M6" i="10"/>
  <c r="L6" i="10"/>
  <c r="N5" i="10"/>
  <c r="M5" i="10"/>
  <c r="L5" i="10"/>
  <c r="K5" i="10"/>
  <c r="L8" i="9"/>
  <c r="L7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4" i="9"/>
  <c r="F8" i="8"/>
  <c r="N21" i="7"/>
  <c r="N20" i="7"/>
  <c r="M20" i="7"/>
  <c r="N19" i="7"/>
  <c r="M19" i="7"/>
  <c r="L19" i="7"/>
  <c r="N18" i="7"/>
  <c r="M18" i="7"/>
  <c r="L18" i="7"/>
  <c r="K18" i="7"/>
  <c r="N22" i="7"/>
  <c r="M21" i="7"/>
  <c r="L20" i="7"/>
  <c r="K19" i="7"/>
  <c r="J18" i="7"/>
  <c r="N8" i="7"/>
  <c r="N7" i="7"/>
  <c r="M7" i="7"/>
  <c r="N6" i="7"/>
  <c r="M6" i="7"/>
  <c r="L6" i="7"/>
  <c r="N5" i="7"/>
  <c r="M5" i="7"/>
  <c r="L5" i="7"/>
  <c r="K5" i="7"/>
  <c r="L8" i="6"/>
  <c r="L7" i="6"/>
  <c r="L6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4" i="6"/>
  <c r="L8" i="5"/>
  <c r="L7" i="5"/>
  <c r="L6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L8" i="4"/>
  <c r="L7" i="4"/>
  <c r="L6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4" i="4"/>
  <c r="L8" i="3"/>
  <c r="L7" i="3"/>
  <c r="L6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4" i="3"/>
  <c r="L8" i="2"/>
  <c r="L7" i="2"/>
  <c r="L6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4" i="2"/>
  <c r="L8" i="1"/>
  <c r="L7" i="1"/>
  <c r="L6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</calcChain>
</file>

<file path=xl/sharedStrings.xml><?xml version="1.0" encoding="utf-8"?>
<sst xmlns="http://schemas.openxmlformats.org/spreadsheetml/2006/main" count="150" uniqueCount="53">
  <si>
    <t>NIFTY 50 INDEX</t>
  </si>
  <si>
    <t>Date</t>
  </si>
  <si>
    <t>Open</t>
  </si>
  <si>
    <t>High</t>
  </si>
  <si>
    <t>Low</t>
  </si>
  <si>
    <t>PREV CLOSE</t>
  </si>
  <si>
    <t>Close</t>
  </si>
  <si>
    <t>DAILY RETURN</t>
  </si>
  <si>
    <t>Average Daily Return</t>
  </si>
  <si>
    <t>Variance</t>
  </si>
  <si>
    <t>Standard Deviation</t>
  </si>
  <si>
    <t>GODREJCP</t>
  </si>
  <si>
    <t>Godrej Consumer Products Ltd.</t>
  </si>
  <si>
    <t>Date </t>
  </si>
  <si>
    <t>OPEN </t>
  </si>
  <si>
    <t>HIGH </t>
  </si>
  <si>
    <t>LOW </t>
  </si>
  <si>
    <t>PREV. CLOSE </t>
  </si>
  <si>
    <t>ASTRAZEN</t>
  </si>
  <si>
    <t>AstraZeneca Pharma India Ltd.</t>
  </si>
  <si>
    <t>COFORGE</t>
  </si>
  <si>
    <t>Coforge Ltd</t>
  </si>
  <si>
    <t>BRIGADE</t>
  </si>
  <si>
    <t>Brigade Enterprises Ltd</t>
  </si>
  <si>
    <t>GUJGASLTD</t>
  </si>
  <si>
    <t xml:space="preserve">Gujarat Gas Ltd. </t>
  </si>
  <si>
    <t>Godrej Returns</t>
  </si>
  <si>
    <t>AstraZeneca Returns</t>
  </si>
  <si>
    <t>Coforge Returns</t>
  </si>
  <si>
    <t>Brigade Returns</t>
  </si>
  <si>
    <t>GujuratGas Returns</t>
  </si>
  <si>
    <t>Correlation Matrix</t>
  </si>
  <si>
    <t>Godrej Consumer Products</t>
  </si>
  <si>
    <t>AstraZeneca Pharma India</t>
  </si>
  <si>
    <t>Coforge</t>
  </si>
  <si>
    <t>Brigade Enterprise</t>
  </si>
  <si>
    <t>Gujarat Gas</t>
  </si>
  <si>
    <t>Covariance Matrix</t>
  </si>
  <si>
    <t>364 Day TB - Secondary</t>
  </si>
  <si>
    <t>DATE</t>
  </si>
  <si>
    <t>YTM (in Per Cent)</t>
  </si>
  <si>
    <t>Risk Free Rate</t>
  </si>
  <si>
    <t>= Average of YTM of 364 Day T-Bill</t>
  </si>
  <si>
    <t>(In Percent)</t>
  </si>
  <si>
    <t>(Value)</t>
  </si>
  <si>
    <t xml:space="preserve">International Security: </t>
  </si>
  <si>
    <t>NVDA</t>
  </si>
  <si>
    <t>Nvidia Corporation</t>
  </si>
  <si>
    <t>PREV. CLOSE</t>
  </si>
  <si>
    <t>Daily Return</t>
  </si>
  <si>
    <t>Nvidia Returns</t>
  </si>
  <si>
    <t>Brigade Enterprises</t>
  </si>
  <si>
    <t>Nvidia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</si>
</sst>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[$-409]d\-mmm\-yy;@"/>
  </numFmts>
  <fonts count="9">
    <font>
      <sz val="11"/>
      <color theme="1"/>
      <name val="Aptos Narrow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sz val="9"/>
      <color rgb="FF000000"/>
      <name val="Helvetica Neue"/>
      <charset val="1"/>
    </font>
    <font>
      <b/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242424"/>
      <name val="Aptos Narrow"/>
      <charset val="1"/>
    </font>
    <font>
      <sz val="11"/>
      <color rgb="FFE3E3E3"/>
      <name val="Courier New"/>
      <charset val="1"/>
    </font>
  </fonts>
  <fills count="6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15" fontId="1" fillId="3" borderId="1" xfId="0" applyNumberFormat="1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0" fontId="3" fillId="0" borderId="0" xfId="0" applyFont="1"/>
    <xf numFmtId="0" fontId="0" fillId="0" borderId="0" xfId="0" applyAlignment="1">
      <alignment wrapText="1"/>
    </xf>
    <xf numFmtId="15" fontId="1" fillId="4" borderId="1" xfId="0" applyNumberFormat="1" applyFont="1" applyFill="1" applyBorder="1"/>
    <xf numFmtId="0" fontId="4" fillId="0" borderId="0" xfId="0" applyFont="1"/>
    <xf numFmtId="0" fontId="1" fillId="5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6" fillId="0" borderId="4" xfId="0" applyNumberFormat="1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7" fillId="0" borderId="0" xfId="0" quotePrefix="1" applyFont="1"/>
    <xf numFmtId="0" fontId="1" fillId="2" borderId="1" xfId="0" applyFont="1" applyFill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5" fontId="1" fillId="3" borderId="1" xfId="0" applyNumberFormat="1" applyFont="1" applyFill="1" applyBorder="1" applyAlignment="1">
      <alignment wrapText="1"/>
    </xf>
    <xf numFmtId="0" fontId="0" fillId="5" borderId="1" xfId="0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11" fontId="0" fillId="0" borderId="0" xfId="0" applyNumberFormat="1"/>
    <xf numFmtId="0" fontId="8" fillId="0" borderId="0" xfId="0" applyFont="1"/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8A0D-E28B-49CF-BC60-638C791FBC41}">
  <dimension ref="A1:Q252"/>
  <sheetViews>
    <sheetView tabSelected="1" workbookViewId="0">
      <selection activeCell="L21" sqref="L21"/>
    </sheetView>
  </sheetViews>
  <sheetFormatPr defaultRowHeight="14.4"/>
  <cols>
    <col min="1" max="1" width="9.109375" style="8"/>
    <col min="5" max="5" width="11.109375" customWidth="1"/>
    <col min="8" max="8" width="11.88671875" customWidth="1"/>
    <col min="11" max="11" width="18.44140625" bestFit="1" customWidth="1"/>
    <col min="12" max="12" width="10.109375" customWidth="1"/>
    <col min="14" max="14" width="11.44140625" bestFit="1" customWidth="1"/>
  </cols>
  <sheetData>
    <row r="1" spans="1:17">
      <c r="A1" s="8" t="s">
        <v>0</v>
      </c>
    </row>
    <row r="3" spans="1:17">
      <c r="A3" s="9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H3" s="11" t="s">
        <v>7</v>
      </c>
    </row>
    <row r="4" spans="1:17">
      <c r="A4" s="7">
        <v>45744</v>
      </c>
      <c r="B4" s="3">
        <v>23600.400000000001</v>
      </c>
      <c r="C4" s="3">
        <v>23649.200000000001</v>
      </c>
      <c r="D4" s="3">
        <v>23450.2</v>
      </c>
      <c r="E4" s="3">
        <v>23591.95</v>
      </c>
      <c r="F4" s="3">
        <v>23519.35</v>
      </c>
      <c r="H4" s="10">
        <f>(F4-E4)/E4</f>
        <v>-3.077320865803894E-3</v>
      </c>
    </row>
    <row r="5" spans="1:17">
      <c r="A5" s="7">
        <v>45743</v>
      </c>
      <c r="B5" s="3">
        <v>23433.95</v>
      </c>
      <c r="C5" s="3">
        <v>23646.45</v>
      </c>
      <c r="D5" s="3">
        <v>23412.2</v>
      </c>
      <c r="E5" s="3">
        <v>23486.85</v>
      </c>
      <c r="F5" s="3">
        <v>23591.95</v>
      </c>
      <c r="H5" s="10">
        <f t="shared" ref="H5:H68" si="0">(F5-E5)/E5</f>
        <v>4.4748444342260539E-3</v>
      </c>
      <c r="Q5">
        <f>L6*252</f>
        <v>6.2546365467944259E-2</v>
      </c>
    </row>
    <row r="6" spans="1:17">
      <c r="A6" s="7">
        <v>45742</v>
      </c>
      <c r="B6" s="3">
        <v>23700.95</v>
      </c>
      <c r="C6" s="3">
        <v>23736.5</v>
      </c>
      <c r="D6" s="3">
        <v>23451.7</v>
      </c>
      <c r="E6" s="3">
        <v>23668.65</v>
      </c>
      <c r="F6" s="3">
        <v>23486.85</v>
      </c>
      <c r="H6" s="10">
        <f t="shared" si="0"/>
        <v>-7.6810464475161409E-3</v>
      </c>
      <c r="K6" t="s">
        <v>8</v>
      </c>
      <c r="L6">
        <f>AVERAGE(H4:H252)</f>
        <v>2.4819986296803275E-4</v>
      </c>
    </row>
    <row r="7" spans="1:17">
      <c r="A7" s="7">
        <v>45741</v>
      </c>
      <c r="B7" s="3">
        <v>23751.5</v>
      </c>
      <c r="C7" s="3">
        <v>23869.599999999999</v>
      </c>
      <c r="D7" s="3">
        <v>23601.4</v>
      </c>
      <c r="E7" s="3">
        <v>23658.35</v>
      </c>
      <c r="F7" s="3">
        <v>23668.65</v>
      </c>
      <c r="H7" s="10">
        <f t="shared" si="0"/>
        <v>4.3536425828525282E-4</v>
      </c>
      <c r="K7" t="s">
        <v>9</v>
      </c>
      <c r="L7">
        <f>_xlfn.VAR.S(H4:H252)</f>
        <v>7.8324522515067785E-5</v>
      </c>
    </row>
    <row r="8" spans="1:17">
      <c r="A8" s="7">
        <v>45740</v>
      </c>
      <c r="B8" s="3">
        <v>23515.4</v>
      </c>
      <c r="C8" s="3">
        <v>23708.75</v>
      </c>
      <c r="D8" s="3">
        <v>23433.5</v>
      </c>
      <c r="E8" s="3">
        <v>23350.400000000001</v>
      </c>
      <c r="F8" s="3">
        <v>23658.35</v>
      </c>
      <c r="H8" s="10">
        <f t="shared" si="0"/>
        <v>1.3188210908592447E-2</v>
      </c>
      <c r="K8" t="s">
        <v>10</v>
      </c>
      <c r="L8">
        <f>_xlfn.STDEV.S(H4:H252)</f>
        <v>8.8501142656503464E-3</v>
      </c>
    </row>
    <row r="9" spans="1:17">
      <c r="A9" s="7">
        <v>45737</v>
      </c>
      <c r="B9" s="3">
        <v>23168.25</v>
      </c>
      <c r="C9" s="3">
        <v>23402.7</v>
      </c>
      <c r="D9" s="3">
        <v>23132.799999999999</v>
      </c>
      <c r="E9" s="3">
        <v>23190.65</v>
      </c>
      <c r="F9" s="3">
        <v>23350.400000000001</v>
      </c>
      <c r="H9" s="10">
        <f t="shared" si="0"/>
        <v>6.8885520673202345E-3</v>
      </c>
    </row>
    <row r="10" spans="1:17">
      <c r="A10" s="7">
        <v>45736</v>
      </c>
      <c r="B10" s="3">
        <v>23036.6</v>
      </c>
      <c r="C10" s="3">
        <v>23216.7</v>
      </c>
      <c r="D10" s="3">
        <v>22973.95</v>
      </c>
      <c r="E10" s="3">
        <v>22907.599999999999</v>
      </c>
      <c r="F10" s="3">
        <v>23190.65</v>
      </c>
      <c r="H10" s="10">
        <f t="shared" si="0"/>
        <v>1.23561612739878E-2</v>
      </c>
      <c r="N10" s="34"/>
    </row>
    <row r="11" spans="1:17">
      <c r="A11" s="7">
        <v>45735</v>
      </c>
      <c r="B11" s="3">
        <v>22874.95</v>
      </c>
      <c r="C11" s="3">
        <v>22940.7</v>
      </c>
      <c r="D11" s="3">
        <v>22807.95</v>
      </c>
      <c r="E11" s="3">
        <v>22834.3</v>
      </c>
      <c r="F11" s="3">
        <v>22907.599999999999</v>
      </c>
      <c r="H11" s="10">
        <f t="shared" si="0"/>
        <v>3.2100830767748203E-3</v>
      </c>
    </row>
    <row r="12" spans="1:17">
      <c r="A12" s="7">
        <v>45734</v>
      </c>
      <c r="B12" s="3">
        <v>22662.25</v>
      </c>
      <c r="C12" s="3">
        <v>22857.8</v>
      </c>
      <c r="D12" s="3">
        <v>22599.200000000001</v>
      </c>
      <c r="E12" s="3">
        <v>22508.75</v>
      </c>
      <c r="F12" s="3">
        <v>22834.3</v>
      </c>
      <c r="H12" s="10">
        <f t="shared" si="0"/>
        <v>1.4463264286110925E-2</v>
      </c>
    </row>
    <row r="13" spans="1:17">
      <c r="A13" s="7">
        <v>45733</v>
      </c>
      <c r="B13" s="3">
        <v>22353.15</v>
      </c>
      <c r="C13" s="3">
        <v>22577</v>
      </c>
      <c r="D13" s="3">
        <v>22353.15</v>
      </c>
      <c r="E13" s="3">
        <v>22397.200000000001</v>
      </c>
      <c r="F13" s="3">
        <v>22508.75</v>
      </c>
      <c r="H13" s="10">
        <f t="shared" si="0"/>
        <v>4.9805332809458001E-3</v>
      </c>
    </row>
    <row r="14" spans="1:17">
      <c r="A14" s="7">
        <v>45729</v>
      </c>
      <c r="B14" s="3">
        <v>22541.5</v>
      </c>
      <c r="C14" s="3">
        <v>22558.05</v>
      </c>
      <c r="D14" s="3">
        <v>22377.35</v>
      </c>
      <c r="E14" s="3">
        <v>22470.5</v>
      </c>
      <c r="F14" s="3">
        <v>22397.200000000001</v>
      </c>
      <c r="H14" s="10">
        <f t="shared" si="0"/>
        <v>-3.262054693932012E-3</v>
      </c>
    </row>
    <row r="15" spans="1:17">
      <c r="A15" s="7">
        <v>45728</v>
      </c>
      <c r="B15" s="3">
        <v>22536.35</v>
      </c>
      <c r="C15" s="3">
        <v>22577.4</v>
      </c>
      <c r="D15" s="3">
        <v>22329.55</v>
      </c>
      <c r="E15" s="3">
        <v>22497.9</v>
      </c>
      <c r="F15" s="3">
        <v>22470.5</v>
      </c>
      <c r="H15" s="10">
        <f t="shared" si="0"/>
        <v>-1.2178914476462894E-3</v>
      </c>
    </row>
    <row r="16" spans="1:17">
      <c r="A16" s="7">
        <v>45727</v>
      </c>
      <c r="B16" s="3">
        <v>22345.95</v>
      </c>
      <c r="C16" s="3">
        <v>22522.1</v>
      </c>
      <c r="D16" s="3">
        <v>22314.7</v>
      </c>
      <c r="E16" s="3">
        <v>22460.3</v>
      </c>
      <c r="F16" s="3">
        <v>22497.9</v>
      </c>
      <c r="H16" s="10">
        <f t="shared" si="0"/>
        <v>1.6740649056335927E-3</v>
      </c>
    </row>
    <row r="17" spans="1:8">
      <c r="A17" s="7">
        <v>45726</v>
      </c>
      <c r="B17" s="3">
        <v>22521.85</v>
      </c>
      <c r="C17" s="3">
        <v>22676.75</v>
      </c>
      <c r="D17" s="3">
        <v>22429.05</v>
      </c>
      <c r="E17" s="3">
        <v>22552.5</v>
      </c>
      <c r="F17" s="3">
        <v>22460.3</v>
      </c>
      <c r="H17" s="10">
        <f t="shared" si="0"/>
        <v>-4.0882385544840144E-3</v>
      </c>
    </row>
    <row r="18" spans="1:8">
      <c r="A18" s="7">
        <v>45723</v>
      </c>
      <c r="B18" s="3">
        <v>22508.65</v>
      </c>
      <c r="C18" s="3">
        <v>22633.8</v>
      </c>
      <c r="D18" s="3">
        <v>22464.75</v>
      </c>
      <c r="E18" s="3">
        <v>22544.7</v>
      </c>
      <c r="F18" s="3">
        <v>22552.5</v>
      </c>
      <c r="H18" s="10">
        <f t="shared" si="0"/>
        <v>3.4597932108208459E-4</v>
      </c>
    </row>
    <row r="19" spans="1:8">
      <c r="A19" s="7">
        <v>45722</v>
      </c>
      <c r="B19" s="3">
        <v>22476.35</v>
      </c>
      <c r="C19" s="3">
        <v>22556.45</v>
      </c>
      <c r="D19" s="3">
        <v>22245.85</v>
      </c>
      <c r="E19" s="3">
        <v>22337.3</v>
      </c>
      <c r="F19" s="3">
        <v>22544.7</v>
      </c>
      <c r="H19" s="10">
        <f t="shared" si="0"/>
        <v>9.2849180518684658E-3</v>
      </c>
    </row>
    <row r="20" spans="1:8">
      <c r="A20" s="7">
        <v>45721</v>
      </c>
      <c r="B20" s="3">
        <v>22073.05</v>
      </c>
      <c r="C20" s="3">
        <v>22394.9</v>
      </c>
      <c r="D20" s="3">
        <v>22067.8</v>
      </c>
      <c r="E20" s="3">
        <v>22082.65</v>
      </c>
      <c r="F20" s="3">
        <v>22337.3</v>
      </c>
      <c r="H20" s="10">
        <f t="shared" si="0"/>
        <v>1.1531677583985519E-2</v>
      </c>
    </row>
    <row r="21" spans="1:8">
      <c r="A21" s="7">
        <v>45720</v>
      </c>
      <c r="B21" s="3">
        <v>21974.45</v>
      </c>
      <c r="C21" s="3">
        <v>22105.05</v>
      </c>
      <c r="D21" s="3">
        <v>21964.6</v>
      </c>
      <c r="E21" s="3">
        <v>22119.3</v>
      </c>
      <c r="F21" s="3">
        <v>22082.65</v>
      </c>
      <c r="H21" s="10">
        <f t="shared" si="0"/>
        <v>-1.656924043708337E-3</v>
      </c>
    </row>
    <row r="22" spans="1:8">
      <c r="A22" s="7">
        <v>45719</v>
      </c>
      <c r="B22" s="3">
        <v>22194.55</v>
      </c>
      <c r="C22" s="3">
        <v>22261.55</v>
      </c>
      <c r="D22" s="3">
        <v>22004.7</v>
      </c>
      <c r="E22" s="3">
        <v>22124.7</v>
      </c>
      <c r="F22" s="3">
        <v>22119.3</v>
      </c>
      <c r="H22" s="10">
        <f t="shared" si="0"/>
        <v>-2.4407110604896133E-4</v>
      </c>
    </row>
    <row r="23" spans="1:8">
      <c r="A23" s="7">
        <v>45716</v>
      </c>
      <c r="B23" s="3">
        <v>22433.4</v>
      </c>
      <c r="C23" s="3">
        <v>22450.35</v>
      </c>
      <c r="D23" s="3">
        <v>22104.85</v>
      </c>
      <c r="E23" s="3">
        <v>22545.05</v>
      </c>
      <c r="F23" s="3">
        <v>22124.7</v>
      </c>
      <c r="H23" s="10">
        <f t="shared" si="0"/>
        <v>-1.8644891007116797E-2</v>
      </c>
    </row>
    <row r="24" spans="1:8">
      <c r="A24" s="7">
        <v>45715</v>
      </c>
      <c r="B24" s="3">
        <v>22568.95</v>
      </c>
      <c r="C24" s="3">
        <v>22613.3</v>
      </c>
      <c r="D24" s="3">
        <v>22508.400000000001</v>
      </c>
      <c r="E24" s="3">
        <v>22547.55</v>
      </c>
      <c r="F24" s="3">
        <v>22545.05</v>
      </c>
      <c r="H24" s="10">
        <f t="shared" si="0"/>
        <v>-1.1087679149175853E-4</v>
      </c>
    </row>
    <row r="25" spans="1:8">
      <c r="A25" s="7">
        <v>45713</v>
      </c>
      <c r="B25" s="3">
        <v>22516.45</v>
      </c>
      <c r="C25" s="3">
        <v>22625.3</v>
      </c>
      <c r="D25" s="3">
        <v>22513.9</v>
      </c>
      <c r="E25" s="3">
        <v>22553.35</v>
      </c>
      <c r="F25" s="3">
        <v>22547.55</v>
      </c>
      <c r="H25" s="10">
        <f t="shared" si="0"/>
        <v>-2.571680038663557E-4</v>
      </c>
    </row>
    <row r="26" spans="1:8">
      <c r="A26" s="7">
        <v>45712</v>
      </c>
      <c r="B26" s="3">
        <v>22609.35</v>
      </c>
      <c r="C26" s="3">
        <v>22668.05</v>
      </c>
      <c r="D26" s="3">
        <v>22518.799999999999</v>
      </c>
      <c r="E26" s="3">
        <v>22795.9</v>
      </c>
      <c r="F26" s="3">
        <v>22553.35</v>
      </c>
      <c r="H26" s="10">
        <f t="shared" si="0"/>
        <v>-1.0640071240881163E-2</v>
      </c>
    </row>
    <row r="27" spans="1:8">
      <c r="A27" s="7">
        <v>45709</v>
      </c>
      <c r="B27" s="3">
        <v>22857.200000000001</v>
      </c>
      <c r="C27" s="3">
        <v>22921</v>
      </c>
      <c r="D27" s="3">
        <v>22720.3</v>
      </c>
      <c r="E27" s="3">
        <v>22913.15</v>
      </c>
      <c r="F27" s="3">
        <v>22795.9</v>
      </c>
      <c r="H27" s="10">
        <f t="shared" si="0"/>
        <v>-5.1171488861199788E-3</v>
      </c>
    </row>
    <row r="28" spans="1:8">
      <c r="A28" s="7">
        <v>45708</v>
      </c>
      <c r="B28" s="3">
        <v>22821.1</v>
      </c>
      <c r="C28" s="3">
        <v>22923.85</v>
      </c>
      <c r="D28" s="3">
        <v>22812.75</v>
      </c>
      <c r="E28" s="3">
        <v>22932.9</v>
      </c>
      <c r="F28" s="3">
        <v>22913.15</v>
      </c>
      <c r="H28" s="10">
        <f t="shared" si="0"/>
        <v>-8.6120813329321623E-4</v>
      </c>
    </row>
    <row r="29" spans="1:8">
      <c r="A29" s="7">
        <v>45707</v>
      </c>
      <c r="B29" s="3">
        <v>22847.25</v>
      </c>
      <c r="C29" s="3">
        <v>23049.95</v>
      </c>
      <c r="D29" s="3">
        <v>22814.85</v>
      </c>
      <c r="E29" s="3">
        <v>22945.3</v>
      </c>
      <c r="F29" s="3">
        <v>22932.9</v>
      </c>
      <c r="H29" s="10">
        <f t="shared" si="0"/>
        <v>-5.4041568425768321E-4</v>
      </c>
    </row>
    <row r="30" spans="1:8">
      <c r="A30" s="7">
        <v>45706</v>
      </c>
      <c r="B30" s="3">
        <v>22963.65</v>
      </c>
      <c r="C30" s="3">
        <v>22992.5</v>
      </c>
      <c r="D30" s="3">
        <v>22801.5</v>
      </c>
      <c r="E30" s="3">
        <v>22959.5</v>
      </c>
      <c r="F30" s="3">
        <v>22945.3</v>
      </c>
      <c r="H30" s="10">
        <f t="shared" si="0"/>
        <v>-6.184803676038558E-4</v>
      </c>
    </row>
    <row r="31" spans="1:8">
      <c r="A31" s="7">
        <v>45705</v>
      </c>
      <c r="B31" s="3">
        <v>22809.9</v>
      </c>
      <c r="C31" s="3">
        <v>22974.2</v>
      </c>
      <c r="D31" s="3">
        <v>22725.45</v>
      </c>
      <c r="E31" s="3">
        <v>22929.25</v>
      </c>
      <c r="F31" s="3">
        <v>22959.5</v>
      </c>
      <c r="H31" s="10">
        <f t="shared" si="0"/>
        <v>1.3192755977626831E-3</v>
      </c>
    </row>
    <row r="32" spans="1:8">
      <c r="A32" s="7">
        <v>45702</v>
      </c>
      <c r="B32" s="3">
        <v>23096.45</v>
      </c>
      <c r="C32" s="3">
        <v>23133.7</v>
      </c>
      <c r="D32" s="3">
        <v>22774.85</v>
      </c>
      <c r="E32" s="3">
        <v>23031.4</v>
      </c>
      <c r="F32" s="3">
        <v>22929.25</v>
      </c>
      <c r="H32" s="10">
        <f t="shared" si="0"/>
        <v>-4.4352492683901734E-3</v>
      </c>
    </row>
    <row r="33" spans="1:8">
      <c r="A33" s="7">
        <v>45701</v>
      </c>
      <c r="B33" s="3">
        <v>23055.75</v>
      </c>
      <c r="C33" s="3">
        <v>23235.5</v>
      </c>
      <c r="D33" s="3">
        <v>22992.2</v>
      </c>
      <c r="E33" s="3">
        <v>23045.25</v>
      </c>
      <c r="F33" s="3">
        <v>23031.4</v>
      </c>
      <c r="H33" s="10">
        <f t="shared" si="0"/>
        <v>-6.0099152753814971E-4</v>
      </c>
    </row>
    <row r="34" spans="1:8">
      <c r="A34" s="7">
        <v>45700</v>
      </c>
      <c r="B34" s="3">
        <v>23050.799999999999</v>
      </c>
      <c r="C34" s="3">
        <v>23144.7</v>
      </c>
      <c r="D34" s="3">
        <v>22798.35</v>
      </c>
      <c r="E34" s="3">
        <v>23071.8</v>
      </c>
      <c r="F34" s="3">
        <v>23045.25</v>
      </c>
      <c r="H34" s="10">
        <f t="shared" si="0"/>
        <v>-1.1507554677138009E-3</v>
      </c>
    </row>
    <row r="35" spans="1:8">
      <c r="A35" s="7">
        <v>45699</v>
      </c>
      <c r="B35" s="3">
        <v>23383.55</v>
      </c>
      <c r="C35" s="3">
        <v>23390.05</v>
      </c>
      <c r="D35" s="3">
        <v>22986.65</v>
      </c>
      <c r="E35" s="3">
        <v>23381.599999999999</v>
      </c>
      <c r="F35" s="3">
        <v>23071.8</v>
      </c>
      <c r="H35" s="10">
        <f t="shared" si="0"/>
        <v>-1.3249734834228593E-2</v>
      </c>
    </row>
    <row r="36" spans="1:8">
      <c r="A36" s="7">
        <v>45698</v>
      </c>
      <c r="B36" s="3">
        <v>23543.8</v>
      </c>
      <c r="C36" s="3">
        <v>23568.6</v>
      </c>
      <c r="D36" s="3">
        <v>23316.3</v>
      </c>
      <c r="E36" s="3">
        <v>23559.95</v>
      </c>
      <c r="F36" s="3">
        <v>23381.599999999999</v>
      </c>
      <c r="H36" s="10">
        <f t="shared" si="0"/>
        <v>-7.5700500213286602E-3</v>
      </c>
    </row>
    <row r="37" spans="1:8">
      <c r="A37" s="7">
        <v>45695</v>
      </c>
      <c r="B37" s="3">
        <v>23649.5</v>
      </c>
      <c r="C37" s="3">
        <v>23694.5</v>
      </c>
      <c r="D37" s="3">
        <v>23443.200000000001</v>
      </c>
      <c r="E37" s="3">
        <v>23603.35</v>
      </c>
      <c r="F37" s="3">
        <v>23559.95</v>
      </c>
      <c r="H37" s="10">
        <f t="shared" si="0"/>
        <v>-1.8387220458112013E-3</v>
      </c>
    </row>
    <row r="38" spans="1:8">
      <c r="A38" s="7">
        <v>45694</v>
      </c>
      <c r="B38" s="3">
        <v>23761.95</v>
      </c>
      <c r="C38" s="3">
        <v>23773.55</v>
      </c>
      <c r="D38" s="3">
        <v>23556.25</v>
      </c>
      <c r="E38" s="3">
        <v>23696.3</v>
      </c>
      <c r="F38" s="3">
        <v>23603.35</v>
      </c>
      <c r="H38" s="10">
        <f t="shared" si="0"/>
        <v>-3.9225533100104544E-3</v>
      </c>
    </row>
    <row r="39" spans="1:8">
      <c r="A39" s="7">
        <v>45693</v>
      </c>
      <c r="B39" s="3">
        <v>23801.75</v>
      </c>
      <c r="C39" s="3">
        <v>23807.3</v>
      </c>
      <c r="D39" s="3">
        <v>23680.45</v>
      </c>
      <c r="E39" s="3">
        <v>23739.25</v>
      </c>
      <c r="F39" s="3">
        <v>23696.3</v>
      </c>
      <c r="H39" s="10">
        <f t="shared" si="0"/>
        <v>-1.8092399717767296E-3</v>
      </c>
    </row>
    <row r="40" spans="1:8">
      <c r="A40" s="7">
        <v>45692</v>
      </c>
      <c r="B40" s="3">
        <v>23509.9</v>
      </c>
      <c r="C40" s="3">
        <v>23762.75</v>
      </c>
      <c r="D40" s="3">
        <v>23423.15</v>
      </c>
      <c r="E40" s="3">
        <v>23361.05</v>
      </c>
      <c r="F40" s="3">
        <v>23739.25</v>
      </c>
      <c r="H40" s="10">
        <f t="shared" si="0"/>
        <v>1.6189340804458736E-2</v>
      </c>
    </row>
    <row r="41" spans="1:8">
      <c r="A41" s="7">
        <v>45691</v>
      </c>
      <c r="B41" s="3">
        <v>23319.35</v>
      </c>
      <c r="C41" s="3">
        <v>23381.599999999999</v>
      </c>
      <c r="D41" s="3">
        <v>23222</v>
      </c>
      <c r="E41" s="3">
        <v>23482.15</v>
      </c>
      <c r="F41" s="3">
        <v>23361.05</v>
      </c>
      <c r="H41" s="10">
        <f t="shared" si="0"/>
        <v>-5.1571086974575228E-3</v>
      </c>
    </row>
    <row r="42" spans="1:8">
      <c r="A42" s="7">
        <v>45689</v>
      </c>
      <c r="B42" s="3">
        <v>23528.6</v>
      </c>
      <c r="C42" s="3">
        <v>23632.45</v>
      </c>
      <c r="D42" s="3">
        <v>23318.3</v>
      </c>
      <c r="E42" s="3">
        <v>23508.400000000001</v>
      </c>
      <c r="F42" s="3">
        <v>23482.15</v>
      </c>
      <c r="H42" s="10">
        <f t="shared" si="0"/>
        <v>-1.1166221435742116E-3</v>
      </c>
    </row>
    <row r="43" spans="1:8">
      <c r="A43" s="7">
        <v>45688</v>
      </c>
      <c r="B43" s="3">
        <v>23296.75</v>
      </c>
      <c r="C43" s="3">
        <v>23546.799999999999</v>
      </c>
      <c r="D43" s="3">
        <v>23277.4</v>
      </c>
      <c r="E43" s="3">
        <v>23249.5</v>
      </c>
      <c r="F43" s="3">
        <v>23508.400000000001</v>
      </c>
      <c r="H43" s="10">
        <f t="shared" si="0"/>
        <v>1.1135723348889286E-2</v>
      </c>
    </row>
    <row r="44" spans="1:8">
      <c r="A44" s="7">
        <v>45687</v>
      </c>
      <c r="B44" s="3">
        <v>23169.5</v>
      </c>
      <c r="C44" s="3">
        <v>23322.05</v>
      </c>
      <c r="D44" s="3">
        <v>23139.200000000001</v>
      </c>
      <c r="E44" s="3">
        <v>23163.1</v>
      </c>
      <c r="F44" s="3">
        <v>23249.5</v>
      </c>
      <c r="H44" s="10">
        <f t="shared" si="0"/>
        <v>3.7300706727511198E-3</v>
      </c>
    </row>
    <row r="45" spans="1:8">
      <c r="A45" s="7">
        <v>45686</v>
      </c>
      <c r="B45" s="3">
        <v>23026.75</v>
      </c>
      <c r="C45" s="3">
        <v>23183.35</v>
      </c>
      <c r="D45" s="3">
        <v>22976.5</v>
      </c>
      <c r="E45" s="3">
        <v>22957.25</v>
      </c>
      <c r="F45" s="3">
        <v>23163.1</v>
      </c>
      <c r="H45" s="10">
        <f t="shared" si="0"/>
        <v>8.9666663036730675E-3</v>
      </c>
    </row>
    <row r="46" spans="1:8">
      <c r="A46" s="7">
        <v>45685</v>
      </c>
      <c r="B46" s="3">
        <v>22960.45</v>
      </c>
      <c r="C46" s="3">
        <v>23137.95</v>
      </c>
      <c r="D46" s="3">
        <v>22857.65</v>
      </c>
      <c r="E46" s="3">
        <v>22829.15</v>
      </c>
      <c r="F46" s="3">
        <v>22957.25</v>
      </c>
      <c r="H46" s="10">
        <f t="shared" si="0"/>
        <v>5.6112470240897508E-3</v>
      </c>
    </row>
    <row r="47" spans="1:8">
      <c r="A47" s="7">
        <v>45684</v>
      </c>
      <c r="B47" s="3">
        <v>22940.15</v>
      </c>
      <c r="C47" s="3">
        <v>23007.45</v>
      </c>
      <c r="D47" s="3">
        <v>22786.9</v>
      </c>
      <c r="E47" s="3">
        <v>23092.2</v>
      </c>
      <c r="F47" s="3">
        <v>22829.15</v>
      </c>
      <c r="H47" s="10">
        <f t="shared" si="0"/>
        <v>-1.1391292297832136E-2</v>
      </c>
    </row>
    <row r="48" spans="1:8">
      <c r="A48" s="7">
        <v>45681</v>
      </c>
      <c r="B48" s="3">
        <v>23183.9</v>
      </c>
      <c r="C48" s="3">
        <v>23347.3</v>
      </c>
      <c r="D48" s="3">
        <v>23050</v>
      </c>
      <c r="E48" s="3">
        <v>23205.35</v>
      </c>
      <c r="F48" s="3">
        <v>23092.2</v>
      </c>
      <c r="H48" s="10">
        <f t="shared" si="0"/>
        <v>-4.8760307429104848E-3</v>
      </c>
    </row>
    <row r="49" spans="1:8">
      <c r="A49" s="7">
        <v>45680</v>
      </c>
      <c r="B49" s="3">
        <v>23128.3</v>
      </c>
      <c r="C49" s="3">
        <v>23270.799999999999</v>
      </c>
      <c r="D49" s="3">
        <v>23090.65</v>
      </c>
      <c r="E49" s="3">
        <v>23155.35</v>
      </c>
      <c r="F49" s="3">
        <v>23205.35</v>
      </c>
      <c r="H49" s="10">
        <f t="shared" si="0"/>
        <v>2.1593281898135853E-3</v>
      </c>
    </row>
    <row r="50" spans="1:8">
      <c r="A50" s="7">
        <v>45679</v>
      </c>
      <c r="B50" s="3">
        <v>23099.15</v>
      </c>
      <c r="C50" s="3">
        <v>23169.55</v>
      </c>
      <c r="D50" s="3">
        <v>22981.3</v>
      </c>
      <c r="E50" s="3">
        <v>23024.65</v>
      </c>
      <c r="F50" s="3">
        <v>23155.35</v>
      </c>
      <c r="H50" s="10">
        <f t="shared" si="0"/>
        <v>5.6765249417470879E-3</v>
      </c>
    </row>
    <row r="51" spans="1:8">
      <c r="A51" s="7">
        <v>45678</v>
      </c>
      <c r="B51" s="3">
        <v>23421.65</v>
      </c>
      <c r="C51" s="3">
        <v>23426.3</v>
      </c>
      <c r="D51" s="3">
        <v>22976.85</v>
      </c>
      <c r="E51" s="3">
        <v>23344.75</v>
      </c>
      <c r="F51" s="3">
        <v>23024.65</v>
      </c>
      <c r="H51" s="10">
        <f t="shared" si="0"/>
        <v>-1.3711862410177815E-2</v>
      </c>
    </row>
    <row r="52" spans="1:8">
      <c r="A52" s="7">
        <v>45677</v>
      </c>
      <c r="B52" s="3">
        <v>23290.400000000001</v>
      </c>
      <c r="C52" s="3">
        <v>23391.1</v>
      </c>
      <c r="D52" s="3">
        <v>23170.65</v>
      </c>
      <c r="E52" s="3">
        <v>23203.200000000001</v>
      </c>
      <c r="F52" s="3">
        <v>23344.75</v>
      </c>
      <c r="H52" s="10">
        <f t="shared" si="0"/>
        <v>6.1004516618397148E-3</v>
      </c>
    </row>
    <row r="53" spans="1:8">
      <c r="A53" s="7">
        <v>45674</v>
      </c>
      <c r="B53" s="3">
        <v>23277.1</v>
      </c>
      <c r="C53" s="3">
        <v>23292.1</v>
      </c>
      <c r="D53" s="3">
        <v>23100.35</v>
      </c>
      <c r="E53" s="3">
        <v>23311.8</v>
      </c>
      <c r="F53" s="3">
        <v>23203.200000000001</v>
      </c>
      <c r="H53" s="10">
        <f t="shared" si="0"/>
        <v>-4.6585849226571325E-3</v>
      </c>
    </row>
    <row r="54" spans="1:8">
      <c r="A54" s="7">
        <v>45673</v>
      </c>
      <c r="B54" s="3">
        <v>23377.25</v>
      </c>
      <c r="C54" s="3">
        <v>23391.65</v>
      </c>
      <c r="D54" s="3">
        <v>23272.05</v>
      </c>
      <c r="E54" s="3">
        <v>23213.200000000001</v>
      </c>
      <c r="F54" s="3">
        <v>23311.8</v>
      </c>
      <c r="H54" s="10">
        <f t="shared" si="0"/>
        <v>4.2475832715867931E-3</v>
      </c>
    </row>
    <row r="55" spans="1:8">
      <c r="A55" s="7">
        <v>45672</v>
      </c>
      <c r="B55" s="3">
        <v>23250.45</v>
      </c>
      <c r="C55" s="3">
        <v>23293.65</v>
      </c>
      <c r="D55" s="3">
        <v>23146.45</v>
      </c>
      <c r="E55" s="3">
        <v>23176.05</v>
      </c>
      <c r="F55" s="3">
        <v>23213.200000000001</v>
      </c>
      <c r="H55" s="10">
        <f t="shared" si="0"/>
        <v>1.6029478707545702E-3</v>
      </c>
    </row>
    <row r="56" spans="1:8">
      <c r="A56" s="7">
        <v>45671</v>
      </c>
      <c r="B56" s="3">
        <v>23165.9</v>
      </c>
      <c r="C56" s="3">
        <v>23264.95</v>
      </c>
      <c r="D56" s="3">
        <v>23134.15</v>
      </c>
      <c r="E56" s="3">
        <v>23085.95</v>
      </c>
      <c r="F56" s="3">
        <v>23176.05</v>
      </c>
      <c r="H56" s="10">
        <f t="shared" si="0"/>
        <v>3.9028066854514777E-3</v>
      </c>
    </row>
    <row r="57" spans="1:8">
      <c r="A57" s="7">
        <v>45670</v>
      </c>
      <c r="B57" s="3">
        <v>23195.4</v>
      </c>
      <c r="C57" s="3">
        <v>23340.95</v>
      </c>
      <c r="D57" s="3">
        <v>23047.25</v>
      </c>
      <c r="E57" s="3">
        <v>23431.5</v>
      </c>
      <c r="F57" s="3">
        <v>23085.95</v>
      </c>
      <c r="H57" s="10">
        <f t="shared" si="0"/>
        <v>-1.4747241960608552E-2</v>
      </c>
    </row>
    <row r="58" spans="1:8">
      <c r="A58" s="7">
        <v>45667</v>
      </c>
      <c r="B58" s="3">
        <v>23551.9</v>
      </c>
      <c r="C58" s="3">
        <v>23596.6</v>
      </c>
      <c r="D58" s="3">
        <v>23344.35</v>
      </c>
      <c r="E58" s="3">
        <v>23526.5</v>
      </c>
      <c r="F58" s="3">
        <v>23431.5</v>
      </c>
      <c r="H58" s="10">
        <f t="shared" si="0"/>
        <v>-4.0379997024631801E-3</v>
      </c>
    </row>
    <row r="59" spans="1:8">
      <c r="A59" s="7">
        <v>45666</v>
      </c>
      <c r="B59" s="3">
        <v>23674.75</v>
      </c>
      <c r="C59" s="3">
        <v>23689.5</v>
      </c>
      <c r="D59" s="3">
        <v>23503.05</v>
      </c>
      <c r="E59" s="3">
        <v>23688.95</v>
      </c>
      <c r="F59" s="3">
        <v>23526.5</v>
      </c>
      <c r="H59" s="10">
        <f t="shared" si="0"/>
        <v>-6.8576277124988956E-3</v>
      </c>
    </row>
    <row r="60" spans="1:8">
      <c r="A60" s="7">
        <v>45665</v>
      </c>
      <c r="B60" s="3">
        <v>23746.65</v>
      </c>
      <c r="C60" s="3">
        <v>23751.85</v>
      </c>
      <c r="D60" s="3">
        <v>23496.15</v>
      </c>
      <c r="E60" s="3">
        <v>23707.9</v>
      </c>
      <c r="F60" s="3">
        <v>23688.95</v>
      </c>
      <c r="H60" s="10">
        <f t="shared" si="0"/>
        <v>-7.9931162186447249E-4</v>
      </c>
    </row>
    <row r="61" spans="1:8">
      <c r="A61" s="7">
        <v>45664</v>
      </c>
      <c r="B61" s="3">
        <v>23679.9</v>
      </c>
      <c r="C61" s="3">
        <v>23795.200000000001</v>
      </c>
      <c r="D61" s="3">
        <v>23637.8</v>
      </c>
      <c r="E61" s="3">
        <v>23616.05</v>
      </c>
      <c r="F61" s="3">
        <v>23707.9</v>
      </c>
      <c r="H61" s="10">
        <f t="shared" si="0"/>
        <v>3.889304096155038E-3</v>
      </c>
    </row>
    <row r="62" spans="1:8">
      <c r="A62" s="7">
        <v>45663</v>
      </c>
      <c r="B62" s="3">
        <v>24045.8</v>
      </c>
      <c r="C62" s="3">
        <v>24089.95</v>
      </c>
      <c r="D62" s="3">
        <v>23551.9</v>
      </c>
      <c r="E62" s="3">
        <v>24004.75</v>
      </c>
      <c r="F62" s="3">
        <v>23616.05</v>
      </c>
      <c r="H62" s="10">
        <f t="shared" si="0"/>
        <v>-1.6192628542267707E-2</v>
      </c>
    </row>
    <row r="63" spans="1:8">
      <c r="A63" s="7">
        <v>45660</v>
      </c>
      <c r="B63" s="3">
        <v>24196.400000000001</v>
      </c>
      <c r="C63" s="3">
        <v>24196.45</v>
      </c>
      <c r="D63" s="3">
        <v>23976</v>
      </c>
      <c r="E63" s="3">
        <v>24188.65</v>
      </c>
      <c r="F63" s="3">
        <v>24004.75</v>
      </c>
      <c r="H63" s="10">
        <f t="shared" si="0"/>
        <v>-7.6027393012839265E-3</v>
      </c>
    </row>
    <row r="64" spans="1:8">
      <c r="A64" s="7">
        <v>45659</v>
      </c>
      <c r="B64" s="3">
        <v>23783</v>
      </c>
      <c r="C64" s="3">
        <v>24226.7</v>
      </c>
      <c r="D64" s="3">
        <v>23751.55</v>
      </c>
      <c r="E64" s="3">
        <v>23742.9</v>
      </c>
      <c r="F64" s="3">
        <v>24188.65</v>
      </c>
      <c r="H64" s="10">
        <f t="shared" si="0"/>
        <v>1.8774033500541212E-2</v>
      </c>
    </row>
    <row r="65" spans="1:8">
      <c r="A65" s="7">
        <v>45658</v>
      </c>
      <c r="B65" s="3">
        <v>23637.65</v>
      </c>
      <c r="C65" s="3">
        <v>23822.799999999999</v>
      </c>
      <c r="D65" s="3">
        <v>23562.799999999999</v>
      </c>
      <c r="E65" s="3">
        <v>23644.799999999999</v>
      </c>
      <c r="F65" s="3">
        <v>23742.9</v>
      </c>
      <c r="H65" s="10">
        <f t="shared" si="0"/>
        <v>4.1489037758831622E-3</v>
      </c>
    </row>
    <row r="66" spans="1:8">
      <c r="A66" s="7">
        <v>45657</v>
      </c>
      <c r="B66" s="3">
        <v>23560.6</v>
      </c>
      <c r="C66" s="3">
        <v>23689.85</v>
      </c>
      <c r="D66" s="3">
        <v>23460.45</v>
      </c>
      <c r="E66" s="3">
        <v>23644.9</v>
      </c>
      <c r="F66" s="3">
        <v>23644.799999999999</v>
      </c>
      <c r="H66" s="10">
        <f t="shared" si="0"/>
        <v>-4.2292418239105594E-6</v>
      </c>
    </row>
    <row r="67" spans="1:8">
      <c r="A67" s="7">
        <v>45656</v>
      </c>
      <c r="B67" s="3">
        <v>23796.9</v>
      </c>
      <c r="C67" s="3">
        <v>23915.35</v>
      </c>
      <c r="D67" s="3">
        <v>23599.3</v>
      </c>
      <c r="E67" s="3">
        <v>23813.4</v>
      </c>
      <c r="F67" s="3">
        <v>23644.9</v>
      </c>
      <c r="H67" s="10">
        <f t="shared" si="0"/>
        <v>-7.0758480519371439E-3</v>
      </c>
    </row>
    <row r="68" spans="1:8">
      <c r="A68" s="7">
        <v>45653</v>
      </c>
      <c r="B68" s="3">
        <v>23801.4</v>
      </c>
      <c r="C68" s="3">
        <v>23938.85</v>
      </c>
      <c r="D68" s="3">
        <v>23800.6</v>
      </c>
      <c r="E68" s="3">
        <v>23750.2</v>
      </c>
      <c r="F68" s="3">
        <v>23813.4</v>
      </c>
      <c r="H68" s="10">
        <f t="shared" si="0"/>
        <v>2.6610302229034166E-3</v>
      </c>
    </row>
    <row r="69" spans="1:8">
      <c r="A69" s="7">
        <v>45652</v>
      </c>
      <c r="B69" s="3">
        <v>23775.8</v>
      </c>
      <c r="C69" s="3">
        <v>23854.5</v>
      </c>
      <c r="D69" s="3">
        <v>23653.599999999999</v>
      </c>
      <c r="E69" s="3">
        <v>23727.65</v>
      </c>
      <c r="F69" s="3">
        <v>23750.2</v>
      </c>
      <c r="H69" s="10">
        <f t="shared" ref="H69:H132" si="1">(F69-E69)/E69</f>
        <v>9.5036803054660999E-4</v>
      </c>
    </row>
    <row r="70" spans="1:8">
      <c r="A70" s="7">
        <v>45650</v>
      </c>
      <c r="B70" s="3">
        <v>23769.1</v>
      </c>
      <c r="C70" s="3">
        <v>23867.65</v>
      </c>
      <c r="D70" s="3">
        <v>23685.15</v>
      </c>
      <c r="E70" s="3">
        <v>23753.45</v>
      </c>
      <c r="F70" s="3">
        <v>23727.65</v>
      </c>
      <c r="H70" s="10">
        <f t="shared" si="1"/>
        <v>-1.0861580107310422E-3</v>
      </c>
    </row>
    <row r="71" spans="1:8">
      <c r="A71" s="7">
        <v>45649</v>
      </c>
      <c r="B71" s="3">
        <v>23738.2</v>
      </c>
      <c r="C71" s="3">
        <v>23869.55</v>
      </c>
      <c r="D71" s="3">
        <v>23647.200000000001</v>
      </c>
      <c r="E71" s="3">
        <v>23587.5</v>
      </c>
      <c r="F71" s="3">
        <v>23753.45</v>
      </c>
      <c r="H71" s="10">
        <f t="shared" si="1"/>
        <v>7.0355060943296547E-3</v>
      </c>
    </row>
    <row r="72" spans="1:8">
      <c r="A72" s="7">
        <v>45646</v>
      </c>
      <c r="B72" s="3">
        <v>23960.7</v>
      </c>
      <c r="C72" s="3">
        <v>24065.8</v>
      </c>
      <c r="D72" s="3">
        <v>23537.35</v>
      </c>
      <c r="E72" s="3">
        <v>23951.7</v>
      </c>
      <c r="F72" s="3">
        <v>23587.5</v>
      </c>
      <c r="H72" s="10">
        <f t="shared" si="1"/>
        <v>-1.520560127256106E-2</v>
      </c>
    </row>
    <row r="73" spans="1:8">
      <c r="A73" s="7">
        <v>45645</v>
      </c>
      <c r="B73" s="3">
        <v>23877.15</v>
      </c>
      <c r="C73" s="3">
        <v>24004.9</v>
      </c>
      <c r="D73" s="3">
        <v>23870.3</v>
      </c>
      <c r="E73" s="3">
        <v>24198.85</v>
      </c>
      <c r="F73" s="3">
        <v>23951.7</v>
      </c>
      <c r="H73" s="10">
        <f t="shared" si="1"/>
        <v>-1.0213295259898624E-2</v>
      </c>
    </row>
    <row r="74" spans="1:8">
      <c r="A74" s="7">
        <v>45644</v>
      </c>
      <c r="B74" s="3">
        <v>24297.95</v>
      </c>
      <c r="C74" s="3">
        <v>24394.45</v>
      </c>
      <c r="D74" s="3">
        <v>24149.85</v>
      </c>
      <c r="E74" s="3">
        <v>24336</v>
      </c>
      <c r="F74" s="3">
        <v>24198.85</v>
      </c>
      <c r="H74" s="10">
        <f t="shared" si="1"/>
        <v>-5.6356837606838205E-3</v>
      </c>
    </row>
    <row r="75" spans="1:8">
      <c r="A75" s="7">
        <v>45643</v>
      </c>
      <c r="B75" s="3">
        <v>24584.799999999999</v>
      </c>
      <c r="C75" s="3">
        <v>24624.1</v>
      </c>
      <c r="D75" s="3">
        <v>24303.45</v>
      </c>
      <c r="E75" s="3">
        <v>24668.25</v>
      </c>
      <c r="F75" s="3">
        <v>24336</v>
      </c>
      <c r="H75" s="10">
        <f t="shared" si="1"/>
        <v>-1.3468730047733423E-2</v>
      </c>
    </row>
    <row r="76" spans="1:8">
      <c r="A76" s="7">
        <v>45642</v>
      </c>
      <c r="B76" s="3">
        <v>24753.4</v>
      </c>
      <c r="C76" s="3">
        <v>24781.25</v>
      </c>
      <c r="D76" s="3">
        <v>24601.75</v>
      </c>
      <c r="E76" s="3">
        <v>24768.3</v>
      </c>
      <c r="F76" s="3">
        <v>24668.25</v>
      </c>
      <c r="H76" s="10">
        <f t="shared" si="1"/>
        <v>-4.0394375068131148E-3</v>
      </c>
    </row>
    <row r="77" spans="1:8">
      <c r="A77" s="7">
        <v>45639</v>
      </c>
      <c r="B77" s="3">
        <v>24498.35</v>
      </c>
      <c r="C77" s="3">
        <v>24792.3</v>
      </c>
      <c r="D77" s="3">
        <v>24180.799999999999</v>
      </c>
      <c r="E77" s="3">
        <v>24548.7</v>
      </c>
      <c r="F77" s="3">
        <v>24768.3</v>
      </c>
      <c r="H77" s="10">
        <f t="shared" si="1"/>
        <v>8.9454838749098136E-3</v>
      </c>
    </row>
    <row r="78" spans="1:8">
      <c r="A78" s="7">
        <v>45638</v>
      </c>
      <c r="B78" s="3">
        <v>24604.45</v>
      </c>
      <c r="C78" s="3">
        <v>24675.25</v>
      </c>
      <c r="D78" s="3">
        <v>24527.95</v>
      </c>
      <c r="E78" s="3">
        <v>24641.8</v>
      </c>
      <c r="F78" s="3">
        <v>24548.7</v>
      </c>
      <c r="H78" s="10">
        <f t="shared" si="1"/>
        <v>-3.77813309092674E-3</v>
      </c>
    </row>
    <row r="79" spans="1:8">
      <c r="A79" s="7">
        <v>45637</v>
      </c>
      <c r="B79" s="3">
        <v>24620.5</v>
      </c>
      <c r="C79" s="3">
        <v>24691.75</v>
      </c>
      <c r="D79" s="3">
        <v>24583.85</v>
      </c>
      <c r="E79" s="3">
        <v>24610.05</v>
      </c>
      <c r="F79" s="3">
        <v>24641.8</v>
      </c>
      <c r="H79" s="10">
        <f t="shared" si="1"/>
        <v>1.29012334391844E-3</v>
      </c>
    </row>
    <row r="80" spans="1:8">
      <c r="A80" s="7">
        <v>45636</v>
      </c>
      <c r="B80" s="3">
        <v>24652.65</v>
      </c>
      <c r="C80" s="3">
        <v>24677.8</v>
      </c>
      <c r="D80" s="3">
        <v>24510.65</v>
      </c>
      <c r="E80" s="3">
        <v>24619</v>
      </c>
      <c r="F80" s="3">
        <v>24610.05</v>
      </c>
      <c r="H80" s="10">
        <f t="shared" si="1"/>
        <v>-3.6354035501038739E-4</v>
      </c>
    </row>
    <row r="81" spans="1:8">
      <c r="A81" s="7">
        <v>45635</v>
      </c>
      <c r="B81" s="3">
        <v>24633.9</v>
      </c>
      <c r="C81" s="3">
        <v>24705</v>
      </c>
      <c r="D81" s="3">
        <v>24580.05</v>
      </c>
      <c r="E81" s="3">
        <v>24677.8</v>
      </c>
      <c r="F81" s="3">
        <v>24619</v>
      </c>
      <c r="H81" s="10">
        <f t="shared" si="1"/>
        <v>-2.3827083451522938E-3</v>
      </c>
    </row>
    <row r="82" spans="1:8">
      <c r="A82" s="7">
        <v>45632</v>
      </c>
      <c r="B82" s="3">
        <v>24729.45</v>
      </c>
      <c r="C82" s="3">
        <v>24751.05</v>
      </c>
      <c r="D82" s="3">
        <v>24620.5</v>
      </c>
      <c r="E82" s="3">
        <v>24708.400000000001</v>
      </c>
      <c r="F82" s="3">
        <v>24677.8</v>
      </c>
      <c r="H82" s="10">
        <f t="shared" si="1"/>
        <v>-1.2384452251057204E-3</v>
      </c>
    </row>
    <row r="83" spans="1:8">
      <c r="A83" s="7">
        <v>45631</v>
      </c>
      <c r="B83" s="3">
        <v>24539.15</v>
      </c>
      <c r="C83" s="3">
        <v>24857.75</v>
      </c>
      <c r="D83" s="3">
        <v>24295.55</v>
      </c>
      <c r="E83" s="3">
        <v>24467.45</v>
      </c>
      <c r="F83" s="3">
        <v>24708.400000000001</v>
      </c>
      <c r="H83" s="10">
        <f t="shared" si="1"/>
        <v>9.8477773531774147E-3</v>
      </c>
    </row>
    <row r="84" spans="1:8">
      <c r="A84" s="7">
        <v>45630</v>
      </c>
      <c r="B84" s="3">
        <v>24488.75</v>
      </c>
      <c r="C84" s="3">
        <v>24573.200000000001</v>
      </c>
      <c r="D84" s="3">
        <v>24366.3</v>
      </c>
      <c r="E84" s="3">
        <v>24457.15</v>
      </c>
      <c r="F84" s="3">
        <v>24467.45</v>
      </c>
      <c r="H84" s="10">
        <f t="shared" si="1"/>
        <v>4.2114473681517558E-4</v>
      </c>
    </row>
    <row r="85" spans="1:8">
      <c r="A85" s="7">
        <v>45629</v>
      </c>
      <c r="B85" s="3">
        <v>24367.5</v>
      </c>
      <c r="C85" s="3">
        <v>24481.35</v>
      </c>
      <c r="D85" s="3">
        <v>24280</v>
      </c>
      <c r="E85" s="3">
        <v>24276.05</v>
      </c>
      <c r="F85" s="3">
        <v>24457.15</v>
      </c>
      <c r="H85" s="10">
        <f t="shared" si="1"/>
        <v>7.4600274756396606E-3</v>
      </c>
    </row>
    <row r="86" spans="1:8">
      <c r="A86" s="7">
        <v>45628</v>
      </c>
      <c r="B86" s="3">
        <v>24140.85</v>
      </c>
      <c r="C86" s="3">
        <v>24301.7</v>
      </c>
      <c r="D86" s="3">
        <v>24008.65</v>
      </c>
      <c r="E86" s="3">
        <v>24131.1</v>
      </c>
      <c r="F86" s="3">
        <v>24276.05</v>
      </c>
      <c r="H86" s="10">
        <f t="shared" si="1"/>
        <v>6.0067713448620549E-3</v>
      </c>
    </row>
    <row r="87" spans="1:8">
      <c r="A87" s="7">
        <v>45625</v>
      </c>
      <c r="B87" s="3">
        <v>23927.15</v>
      </c>
      <c r="C87" s="3">
        <v>24188.45</v>
      </c>
      <c r="D87" s="3">
        <v>23927.15</v>
      </c>
      <c r="E87" s="3">
        <v>23914.15</v>
      </c>
      <c r="F87" s="3">
        <v>24131.1</v>
      </c>
      <c r="H87" s="10">
        <f t="shared" si="1"/>
        <v>9.072034757664273E-3</v>
      </c>
    </row>
    <row r="88" spans="1:8">
      <c r="A88" s="7">
        <v>45624</v>
      </c>
      <c r="B88" s="3">
        <v>24274.15</v>
      </c>
      <c r="C88" s="3">
        <v>24345.75</v>
      </c>
      <c r="D88" s="3">
        <v>23873.35</v>
      </c>
      <c r="E88" s="3">
        <v>24274.9</v>
      </c>
      <c r="F88" s="3">
        <v>23914.15</v>
      </c>
      <c r="H88" s="10">
        <f t="shared" si="1"/>
        <v>-1.4861029293632517E-2</v>
      </c>
    </row>
    <row r="89" spans="1:8">
      <c r="A89" s="7">
        <v>45623</v>
      </c>
      <c r="B89" s="3">
        <v>24204.799999999999</v>
      </c>
      <c r="C89" s="3">
        <v>24354.55</v>
      </c>
      <c r="D89" s="3">
        <v>24145.65</v>
      </c>
      <c r="E89" s="3">
        <v>24194.5</v>
      </c>
      <c r="F89" s="3">
        <v>24274.9</v>
      </c>
      <c r="H89" s="10">
        <f t="shared" si="1"/>
        <v>3.3230692926078842E-3</v>
      </c>
    </row>
    <row r="90" spans="1:8">
      <c r="A90" s="7">
        <v>45622</v>
      </c>
      <c r="B90" s="3">
        <v>24343.3</v>
      </c>
      <c r="C90" s="3">
        <v>24343.3</v>
      </c>
      <c r="D90" s="3">
        <v>24125.4</v>
      </c>
      <c r="E90" s="3">
        <v>24221.9</v>
      </c>
      <c r="F90" s="3">
        <v>24194.5</v>
      </c>
      <c r="H90" s="10">
        <f t="shared" si="1"/>
        <v>-1.1312077087264605E-3</v>
      </c>
    </row>
    <row r="91" spans="1:8">
      <c r="A91" s="7">
        <v>45621</v>
      </c>
      <c r="B91" s="3">
        <v>24253.55</v>
      </c>
      <c r="C91" s="3">
        <v>24351.55</v>
      </c>
      <c r="D91" s="3">
        <v>24135.45</v>
      </c>
      <c r="E91" s="3">
        <v>23907.25</v>
      </c>
      <c r="F91" s="3">
        <v>24221.9</v>
      </c>
      <c r="H91" s="10">
        <f t="shared" si="1"/>
        <v>1.316127952817666E-2</v>
      </c>
    </row>
    <row r="92" spans="1:8">
      <c r="A92" s="7">
        <v>45618</v>
      </c>
      <c r="B92" s="3">
        <v>23411.8</v>
      </c>
      <c r="C92" s="3">
        <v>23956.1</v>
      </c>
      <c r="D92" s="3">
        <v>23359</v>
      </c>
      <c r="E92" s="3">
        <v>23349.9</v>
      </c>
      <c r="F92" s="3">
        <v>23907.25</v>
      </c>
      <c r="H92" s="10">
        <f t="shared" si="1"/>
        <v>2.3869481239748285E-2</v>
      </c>
    </row>
    <row r="93" spans="1:8">
      <c r="A93" s="7">
        <v>45617</v>
      </c>
      <c r="B93" s="3">
        <v>23488.45</v>
      </c>
      <c r="C93" s="3">
        <v>23507.3</v>
      </c>
      <c r="D93" s="3">
        <v>23263.15</v>
      </c>
      <c r="E93" s="3">
        <v>23518.5</v>
      </c>
      <c r="F93" s="3">
        <v>23349.9</v>
      </c>
      <c r="H93" s="10">
        <f t="shared" si="1"/>
        <v>-7.1688245423814677E-3</v>
      </c>
    </row>
    <row r="94" spans="1:8">
      <c r="A94" s="7">
        <v>45615</v>
      </c>
      <c r="B94" s="3">
        <v>23529.55</v>
      </c>
      <c r="C94" s="3">
        <v>23780.65</v>
      </c>
      <c r="D94" s="3">
        <v>23464.799999999999</v>
      </c>
      <c r="E94" s="3">
        <v>23453.8</v>
      </c>
      <c r="F94" s="3">
        <v>23518.5</v>
      </c>
      <c r="H94" s="10">
        <f t="shared" si="1"/>
        <v>2.7586148086877491E-3</v>
      </c>
    </row>
    <row r="95" spans="1:8">
      <c r="A95" s="7">
        <v>45614</v>
      </c>
      <c r="B95" s="3">
        <v>23605.3</v>
      </c>
      <c r="C95" s="3">
        <v>23606.799999999999</v>
      </c>
      <c r="D95" s="3">
        <v>23350.400000000001</v>
      </c>
      <c r="E95" s="3">
        <v>23532.7</v>
      </c>
      <c r="F95" s="3">
        <v>23453.8</v>
      </c>
      <c r="H95" s="10">
        <f t="shared" si="1"/>
        <v>-3.3527814487925929E-3</v>
      </c>
    </row>
    <row r="96" spans="1:8">
      <c r="A96" s="7">
        <v>45610</v>
      </c>
      <c r="B96" s="3">
        <v>23542.15</v>
      </c>
      <c r="C96" s="3">
        <v>23675.9</v>
      </c>
      <c r="D96" s="3">
        <v>23484.15</v>
      </c>
      <c r="E96" s="3">
        <v>23559.05</v>
      </c>
      <c r="F96" s="3">
        <v>23532.7</v>
      </c>
      <c r="H96" s="10">
        <f t="shared" si="1"/>
        <v>-1.118466152073133E-3</v>
      </c>
    </row>
    <row r="97" spans="1:8">
      <c r="A97" s="7">
        <v>45609</v>
      </c>
      <c r="B97" s="3">
        <v>23822.45</v>
      </c>
      <c r="C97" s="3">
        <v>23873.599999999999</v>
      </c>
      <c r="D97" s="3">
        <v>23509.599999999999</v>
      </c>
      <c r="E97" s="3">
        <v>23883.45</v>
      </c>
      <c r="F97" s="3">
        <v>23559.05</v>
      </c>
      <c r="H97" s="10">
        <f t="shared" si="1"/>
        <v>-1.3582627300494754E-2</v>
      </c>
    </row>
    <row r="98" spans="1:8">
      <c r="A98" s="7">
        <v>45608</v>
      </c>
      <c r="B98" s="3">
        <v>24225.8</v>
      </c>
      <c r="C98" s="3">
        <v>24242</v>
      </c>
      <c r="D98" s="3">
        <v>23839.15</v>
      </c>
      <c r="E98" s="3">
        <v>24141.3</v>
      </c>
      <c r="F98" s="3">
        <v>23883.45</v>
      </c>
      <c r="H98" s="10">
        <f t="shared" si="1"/>
        <v>-1.0680866399075383E-2</v>
      </c>
    </row>
    <row r="99" spans="1:8">
      <c r="A99" s="7">
        <v>45607</v>
      </c>
      <c r="B99" s="3">
        <v>24087.25</v>
      </c>
      <c r="C99" s="3">
        <v>24336.799999999999</v>
      </c>
      <c r="D99" s="3">
        <v>24004.6</v>
      </c>
      <c r="E99" s="3">
        <v>24148.2</v>
      </c>
      <c r="F99" s="3">
        <v>24141.3</v>
      </c>
      <c r="H99" s="10">
        <f t="shared" si="1"/>
        <v>-2.8573558277641628E-4</v>
      </c>
    </row>
    <row r="100" spans="1:8">
      <c r="A100" s="7">
        <v>45604</v>
      </c>
      <c r="B100" s="3">
        <v>24207.7</v>
      </c>
      <c r="C100" s="3">
        <v>24276.15</v>
      </c>
      <c r="D100" s="3">
        <v>24066.65</v>
      </c>
      <c r="E100" s="3">
        <v>24199.35</v>
      </c>
      <c r="F100" s="3">
        <v>24148.2</v>
      </c>
      <c r="H100" s="10">
        <f t="shared" si="1"/>
        <v>-2.1136931363858044E-3</v>
      </c>
    </row>
    <row r="101" spans="1:8">
      <c r="A101" s="7">
        <v>45603</v>
      </c>
      <c r="B101" s="3">
        <v>24489.599999999999</v>
      </c>
      <c r="C101" s="3">
        <v>24503.35</v>
      </c>
      <c r="D101" s="3">
        <v>24179.05</v>
      </c>
      <c r="E101" s="3">
        <v>24484.05</v>
      </c>
      <c r="F101" s="3">
        <v>24199.35</v>
      </c>
      <c r="H101" s="10">
        <f t="shared" si="1"/>
        <v>-1.162797821438858E-2</v>
      </c>
    </row>
    <row r="102" spans="1:8">
      <c r="A102" s="7">
        <v>45602</v>
      </c>
      <c r="B102" s="3">
        <v>24308.75</v>
      </c>
      <c r="C102" s="3">
        <v>24537.599999999999</v>
      </c>
      <c r="D102" s="3">
        <v>24204.05</v>
      </c>
      <c r="E102" s="3">
        <v>24213.3</v>
      </c>
      <c r="F102" s="3">
        <v>24484.05</v>
      </c>
      <c r="H102" s="10">
        <f t="shared" si="1"/>
        <v>1.1181871120417292E-2</v>
      </c>
    </row>
    <row r="103" spans="1:8">
      <c r="A103" s="7">
        <v>45601</v>
      </c>
      <c r="B103" s="3">
        <v>23916.5</v>
      </c>
      <c r="C103" s="3">
        <v>24229.05</v>
      </c>
      <c r="D103" s="3">
        <v>23842.75</v>
      </c>
      <c r="E103" s="3">
        <v>23995.35</v>
      </c>
      <c r="F103" s="3">
        <v>24213.3</v>
      </c>
      <c r="H103" s="10">
        <f t="shared" si="1"/>
        <v>9.0830098331552041E-3</v>
      </c>
    </row>
    <row r="104" spans="1:8">
      <c r="A104" s="7">
        <v>45600</v>
      </c>
      <c r="B104" s="3">
        <v>24315.75</v>
      </c>
      <c r="C104" s="3">
        <v>24316.75</v>
      </c>
      <c r="D104" s="3">
        <v>23816.15</v>
      </c>
      <c r="E104" s="3">
        <v>24304.35</v>
      </c>
      <c r="F104" s="3">
        <v>23995.35</v>
      </c>
      <c r="H104" s="10">
        <f t="shared" si="1"/>
        <v>-1.2713773460306488E-2</v>
      </c>
    </row>
    <row r="105" spans="1:8">
      <c r="A105" s="7">
        <v>45597</v>
      </c>
      <c r="B105" s="3">
        <v>24302.75</v>
      </c>
      <c r="C105" s="3">
        <v>24368.25</v>
      </c>
      <c r="D105" s="3">
        <v>24280.2</v>
      </c>
      <c r="E105" s="3">
        <v>24205.35</v>
      </c>
      <c r="F105" s="3">
        <v>24304.35</v>
      </c>
      <c r="H105" s="10">
        <f t="shared" si="1"/>
        <v>4.0900048956119209E-3</v>
      </c>
    </row>
    <row r="106" spans="1:8">
      <c r="A106" s="7">
        <v>45596</v>
      </c>
      <c r="B106" s="3">
        <v>24349.85</v>
      </c>
      <c r="C106" s="3">
        <v>24372.45</v>
      </c>
      <c r="D106" s="3">
        <v>24172.6</v>
      </c>
      <c r="E106" s="3">
        <v>24340.85</v>
      </c>
      <c r="F106" s="3">
        <v>24205.35</v>
      </c>
      <c r="H106" s="10">
        <f t="shared" si="1"/>
        <v>-5.5667735514577351E-3</v>
      </c>
    </row>
    <row r="107" spans="1:8">
      <c r="A107" s="7">
        <v>45595</v>
      </c>
      <c r="B107" s="3">
        <v>24371.45</v>
      </c>
      <c r="C107" s="3">
        <v>24498.2</v>
      </c>
      <c r="D107" s="3">
        <v>24307.3</v>
      </c>
      <c r="E107" s="3">
        <v>24466.85</v>
      </c>
      <c r="F107" s="3">
        <v>24340.85</v>
      </c>
      <c r="H107" s="10">
        <f t="shared" si="1"/>
        <v>-5.1498251716097501E-3</v>
      </c>
    </row>
    <row r="108" spans="1:8">
      <c r="A108" s="7">
        <v>45594</v>
      </c>
      <c r="B108" s="3">
        <v>24328.85</v>
      </c>
      <c r="C108" s="3">
        <v>24484.5</v>
      </c>
      <c r="D108" s="3">
        <v>24140.85</v>
      </c>
      <c r="E108" s="3">
        <v>24339.15</v>
      </c>
      <c r="F108" s="3">
        <v>24466.85</v>
      </c>
      <c r="H108" s="10">
        <f t="shared" si="1"/>
        <v>5.2466910307055539E-3</v>
      </c>
    </row>
    <row r="109" spans="1:8">
      <c r="A109" s="7">
        <v>45593</v>
      </c>
      <c r="B109" s="3">
        <v>24251.1</v>
      </c>
      <c r="C109" s="3">
        <v>24492.6</v>
      </c>
      <c r="D109" s="3">
        <v>24134.9</v>
      </c>
      <c r="E109" s="3">
        <v>24180.799999999999</v>
      </c>
      <c r="F109" s="3">
        <v>24339.15</v>
      </c>
      <c r="H109" s="10">
        <f t="shared" si="1"/>
        <v>6.5485840005294364E-3</v>
      </c>
    </row>
    <row r="110" spans="1:8">
      <c r="A110" s="7">
        <v>45590</v>
      </c>
      <c r="B110" s="3">
        <v>24418.05</v>
      </c>
      <c r="C110" s="3">
        <v>24440.25</v>
      </c>
      <c r="D110" s="3">
        <v>24073.9</v>
      </c>
      <c r="E110" s="3">
        <v>24399.4</v>
      </c>
      <c r="F110" s="3">
        <v>24180.799999999999</v>
      </c>
      <c r="H110" s="10">
        <f t="shared" si="1"/>
        <v>-8.9592367025419541E-3</v>
      </c>
    </row>
    <row r="111" spans="1:8">
      <c r="A111" s="7">
        <v>45589</v>
      </c>
      <c r="B111" s="3">
        <v>24412.7</v>
      </c>
      <c r="C111" s="3">
        <v>24480.65</v>
      </c>
      <c r="D111" s="3">
        <v>24341.200000000001</v>
      </c>
      <c r="E111" s="3">
        <v>24435.5</v>
      </c>
      <c r="F111" s="3">
        <v>24399.4</v>
      </c>
      <c r="H111" s="10">
        <f t="shared" si="1"/>
        <v>-1.4773587608192403E-3</v>
      </c>
    </row>
    <row r="112" spans="1:8">
      <c r="A112" s="7">
        <v>45588</v>
      </c>
      <c r="B112" s="3">
        <v>24378.15</v>
      </c>
      <c r="C112" s="3">
        <v>24604.25</v>
      </c>
      <c r="D112" s="3">
        <v>24378.1</v>
      </c>
      <c r="E112" s="3">
        <v>24472.1</v>
      </c>
      <c r="F112" s="3">
        <v>24435.5</v>
      </c>
      <c r="H112" s="10">
        <f t="shared" si="1"/>
        <v>-1.4955806816741737E-3</v>
      </c>
    </row>
    <row r="113" spans="1:8">
      <c r="A113" s="7">
        <v>45587</v>
      </c>
      <c r="B113" s="3">
        <v>24798.65</v>
      </c>
      <c r="C113" s="3">
        <v>24882</v>
      </c>
      <c r="D113" s="3">
        <v>24445.8</v>
      </c>
      <c r="E113" s="3">
        <v>24781.1</v>
      </c>
      <c r="F113" s="3">
        <v>24472.1</v>
      </c>
      <c r="H113" s="10">
        <f t="shared" si="1"/>
        <v>-1.2469180141317376E-2</v>
      </c>
    </row>
    <row r="114" spans="1:8">
      <c r="A114" s="7">
        <v>45586</v>
      </c>
      <c r="B114" s="3">
        <v>24956.15</v>
      </c>
      <c r="C114" s="3">
        <v>24978.3</v>
      </c>
      <c r="D114" s="3">
        <v>24679.599999999999</v>
      </c>
      <c r="E114" s="3">
        <v>24854.05</v>
      </c>
      <c r="F114" s="3">
        <v>24781.1</v>
      </c>
      <c r="H114" s="10">
        <f t="shared" si="1"/>
        <v>-2.9351353199981787E-3</v>
      </c>
    </row>
    <row r="115" spans="1:8">
      <c r="A115" s="7">
        <v>45583</v>
      </c>
      <c r="B115" s="3">
        <v>24664.95</v>
      </c>
      <c r="C115" s="3">
        <v>24886.2</v>
      </c>
      <c r="D115" s="3">
        <v>24567.65</v>
      </c>
      <c r="E115" s="3">
        <v>24749.85</v>
      </c>
      <c r="F115" s="3">
        <v>24854.05</v>
      </c>
      <c r="H115" s="10">
        <f t="shared" si="1"/>
        <v>4.2101265260193789E-3</v>
      </c>
    </row>
    <row r="116" spans="1:8">
      <c r="A116" s="7">
        <v>45582</v>
      </c>
      <c r="B116" s="3">
        <v>25027.4</v>
      </c>
      <c r="C116" s="3">
        <v>25029.5</v>
      </c>
      <c r="D116" s="3">
        <v>24728.9</v>
      </c>
      <c r="E116" s="3">
        <v>24971.3</v>
      </c>
      <c r="F116" s="3">
        <v>24749.85</v>
      </c>
      <c r="H116" s="10">
        <f t="shared" si="1"/>
        <v>-8.8681806714108087E-3</v>
      </c>
    </row>
    <row r="117" spans="1:8">
      <c r="A117" s="7">
        <v>45581</v>
      </c>
      <c r="B117" s="3">
        <v>25008.55</v>
      </c>
      <c r="C117" s="3">
        <v>25093.4</v>
      </c>
      <c r="D117" s="3">
        <v>24908.45</v>
      </c>
      <c r="E117" s="3">
        <v>25057.35</v>
      </c>
      <c r="F117" s="3">
        <v>24971.3</v>
      </c>
      <c r="H117" s="10">
        <f t="shared" si="1"/>
        <v>-3.4341221238478642E-3</v>
      </c>
    </row>
    <row r="118" spans="1:8">
      <c r="A118" s="7">
        <v>45580</v>
      </c>
      <c r="B118" s="3">
        <v>25186.3</v>
      </c>
      <c r="C118" s="3">
        <v>25212.05</v>
      </c>
      <c r="D118" s="3">
        <v>25008.15</v>
      </c>
      <c r="E118" s="3">
        <v>25127.95</v>
      </c>
      <c r="F118" s="3">
        <v>25057.35</v>
      </c>
      <c r="H118" s="10">
        <f t="shared" si="1"/>
        <v>-2.8096203629823435E-3</v>
      </c>
    </row>
    <row r="119" spans="1:8">
      <c r="A119" s="7">
        <v>45579</v>
      </c>
      <c r="B119" s="3">
        <v>25023.45</v>
      </c>
      <c r="C119" s="3">
        <v>25159.75</v>
      </c>
      <c r="D119" s="3">
        <v>25017.5</v>
      </c>
      <c r="E119" s="3">
        <v>24964.25</v>
      </c>
      <c r="F119" s="3">
        <v>25127.95</v>
      </c>
      <c r="H119" s="10">
        <f t="shared" si="1"/>
        <v>6.5573770491803574E-3</v>
      </c>
    </row>
    <row r="120" spans="1:8">
      <c r="A120" s="7">
        <v>45576</v>
      </c>
      <c r="B120" s="3">
        <v>24985.3</v>
      </c>
      <c r="C120" s="3">
        <v>25028.65</v>
      </c>
      <c r="D120" s="3">
        <v>24920.05</v>
      </c>
      <c r="E120" s="3">
        <v>24998.45</v>
      </c>
      <c r="F120" s="3">
        <v>24964.25</v>
      </c>
      <c r="H120" s="10">
        <f t="shared" si="1"/>
        <v>-1.368084821258947E-3</v>
      </c>
    </row>
    <row r="121" spans="1:8">
      <c r="A121" s="7">
        <v>45575</v>
      </c>
      <c r="B121" s="3">
        <v>25067.05</v>
      </c>
      <c r="C121" s="3">
        <v>25134.05</v>
      </c>
      <c r="D121" s="3">
        <v>24979.4</v>
      </c>
      <c r="E121" s="3">
        <v>24981.95</v>
      </c>
      <c r="F121" s="3">
        <v>24998.45</v>
      </c>
      <c r="H121" s="10">
        <f t="shared" si="1"/>
        <v>6.604768642960217E-4</v>
      </c>
    </row>
    <row r="122" spans="1:8">
      <c r="A122" s="7">
        <v>45574</v>
      </c>
      <c r="B122" s="3">
        <v>25065.8</v>
      </c>
      <c r="C122" s="3">
        <v>25234.05</v>
      </c>
      <c r="D122" s="3">
        <v>24947.7</v>
      </c>
      <c r="E122" s="3">
        <v>25013.15</v>
      </c>
      <c r="F122" s="3">
        <v>24981.95</v>
      </c>
      <c r="H122" s="10">
        <f t="shared" si="1"/>
        <v>-1.2473438971101491E-3</v>
      </c>
    </row>
    <row r="123" spans="1:8">
      <c r="A123" s="7">
        <v>45573</v>
      </c>
      <c r="B123" s="3">
        <v>24832.2</v>
      </c>
      <c r="C123" s="3">
        <v>25044</v>
      </c>
      <c r="D123" s="3">
        <v>24756.799999999999</v>
      </c>
      <c r="E123" s="3">
        <v>24795.75</v>
      </c>
      <c r="F123" s="3">
        <v>25013.15</v>
      </c>
      <c r="H123" s="10">
        <f t="shared" si="1"/>
        <v>8.7676315497616109E-3</v>
      </c>
    </row>
    <row r="124" spans="1:8">
      <c r="A124" s="7">
        <v>45572</v>
      </c>
      <c r="B124" s="3">
        <v>25084.1</v>
      </c>
      <c r="C124" s="3">
        <v>25143</v>
      </c>
      <c r="D124" s="3">
        <v>24694.35</v>
      </c>
      <c r="E124" s="3">
        <v>25014.6</v>
      </c>
      <c r="F124" s="3">
        <v>24795.75</v>
      </c>
      <c r="H124" s="10">
        <f t="shared" si="1"/>
        <v>-8.7488906478615912E-3</v>
      </c>
    </row>
    <row r="125" spans="1:8">
      <c r="A125" s="7">
        <v>45569</v>
      </c>
      <c r="B125" s="3">
        <v>25181.9</v>
      </c>
      <c r="C125" s="3">
        <v>25485.05</v>
      </c>
      <c r="D125" s="3">
        <v>24966.799999999999</v>
      </c>
      <c r="E125" s="3">
        <v>25250.1</v>
      </c>
      <c r="F125" s="3">
        <v>25014.6</v>
      </c>
      <c r="H125" s="10">
        <f t="shared" si="1"/>
        <v>-9.3266957358584725E-3</v>
      </c>
    </row>
    <row r="126" spans="1:8">
      <c r="A126" s="7">
        <v>45568</v>
      </c>
      <c r="B126" s="3">
        <v>25452.85</v>
      </c>
      <c r="C126" s="3">
        <v>25639.45</v>
      </c>
      <c r="D126" s="3">
        <v>25230.3</v>
      </c>
      <c r="E126" s="3">
        <v>25796.9</v>
      </c>
      <c r="F126" s="3">
        <v>25250.1</v>
      </c>
      <c r="H126" s="10">
        <f t="shared" si="1"/>
        <v>-2.1196345297303278E-2</v>
      </c>
    </row>
    <row r="127" spans="1:8">
      <c r="A127" s="7">
        <v>45566</v>
      </c>
      <c r="B127" s="3">
        <v>25788.45</v>
      </c>
      <c r="C127" s="3">
        <v>25907.599999999999</v>
      </c>
      <c r="D127" s="3">
        <v>25739.200000000001</v>
      </c>
      <c r="E127" s="3">
        <v>25810.85</v>
      </c>
      <c r="F127" s="3">
        <v>25796.9</v>
      </c>
      <c r="H127" s="10">
        <f t="shared" si="1"/>
        <v>-5.4047038357888603E-4</v>
      </c>
    </row>
    <row r="128" spans="1:8">
      <c r="A128" s="7">
        <v>45565</v>
      </c>
      <c r="B128" s="3">
        <v>26061.3</v>
      </c>
      <c r="C128" s="3">
        <v>26134.7</v>
      </c>
      <c r="D128" s="3">
        <v>25794.1</v>
      </c>
      <c r="E128" s="3">
        <v>26178.95</v>
      </c>
      <c r="F128" s="3">
        <v>25810.85</v>
      </c>
      <c r="H128" s="10">
        <f t="shared" si="1"/>
        <v>-1.4060915353748036E-2</v>
      </c>
    </row>
    <row r="129" spans="1:8">
      <c r="A129" s="7">
        <v>45562</v>
      </c>
      <c r="B129" s="3">
        <v>26248.25</v>
      </c>
      <c r="C129" s="3">
        <v>26277.35</v>
      </c>
      <c r="D129" s="3">
        <v>26151.4</v>
      </c>
      <c r="E129" s="3">
        <v>26216.05</v>
      </c>
      <c r="F129" s="3">
        <v>26178.95</v>
      </c>
      <c r="H129" s="10">
        <f t="shared" si="1"/>
        <v>-1.4151636116042862E-3</v>
      </c>
    </row>
    <row r="130" spans="1:8">
      <c r="A130" s="7">
        <v>45561</v>
      </c>
      <c r="B130" s="3">
        <v>26005.4</v>
      </c>
      <c r="C130" s="3">
        <v>26250.9</v>
      </c>
      <c r="D130" s="3">
        <v>25998.400000000001</v>
      </c>
      <c r="E130" s="3">
        <v>26004.15</v>
      </c>
      <c r="F130" s="3">
        <v>26216.05</v>
      </c>
      <c r="H130" s="10">
        <f t="shared" si="1"/>
        <v>8.1486993422202926E-3</v>
      </c>
    </row>
    <row r="131" spans="1:8">
      <c r="A131" s="7">
        <v>45560</v>
      </c>
      <c r="B131" s="3">
        <v>25899.45</v>
      </c>
      <c r="C131" s="3">
        <v>26032.799999999999</v>
      </c>
      <c r="D131" s="3">
        <v>25871.35</v>
      </c>
      <c r="E131" s="3">
        <v>25940.400000000001</v>
      </c>
      <c r="F131" s="3">
        <v>26004.15</v>
      </c>
      <c r="H131" s="10">
        <f t="shared" si="1"/>
        <v>2.4575565527131422E-3</v>
      </c>
    </row>
    <row r="132" spans="1:8">
      <c r="A132" s="7">
        <v>45559</v>
      </c>
      <c r="B132" s="3">
        <v>25921.45</v>
      </c>
      <c r="C132" s="3">
        <v>26011.55</v>
      </c>
      <c r="D132" s="3">
        <v>25886.85</v>
      </c>
      <c r="E132" s="3">
        <v>25939.05</v>
      </c>
      <c r="F132" s="3">
        <v>25940.400000000001</v>
      </c>
      <c r="H132" s="10">
        <f t="shared" si="1"/>
        <v>5.2045082607195824E-5</v>
      </c>
    </row>
    <row r="133" spans="1:8">
      <c r="A133" s="7">
        <v>45558</v>
      </c>
      <c r="B133" s="3">
        <v>25872.55</v>
      </c>
      <c r="C133" s="3">
        <v>25956</v>
      </c>
      <c r="D133" s="3">
        <v>25847.35</v>
      </c>
      <c r="E133" s="3">
        <v>25790.95</v>
      </c>
      <c r="F133" s="3">
        <v>25939.05</v>
      </c>
      <c r="H133" s="10">
        <f t="shared" ref="H133:H196" si="2">(F133-E133)/E133</f>
        <v>5.7423243424534007E-3</v>
      </c>
    </row>
    <row r="134" spans="1:8">
      <c r="A134" s="7">
        <v>45555</v>
      </c>
      <c r="B134" s="3">
        <v>25525.95</v>
      </c>
      <c r="C134" s="3">
        <v>25849.25</v>
      </c>
      <c r="D134" s="3">
        <v>25426.6</v>
      </c>
      <c r="E134" s="3">
        <v>25415.8</v>
      </c>
      <c r="F134" s="3">
        <v>25790.95</v>
      </c>
      <c r="H134" s="10">
        <f t="shared" si="2"/>
        <v>1.4760503308965348E-2</v>
      </c>
    </row>
    <row r="135" spans="1:8">
      <c r="A135" s="7">
        <v>45554</v>
      </c>
      <c r="B135" s="3">
        <v>25487.05</v>
      </c>
      <c r="C135" s="3">
        <v>25611.95</v>
      </c>
      <c r="D135" s="3">
        <v>25376.05</v>
      </c>
      <c r="E135" s="3">
        <v>25377.55</v>
      </c>
      <c r="F135" s="3">
        <v>25415.8</v>
      </c>
      <c r="H135" s="10">
        <f t="shared" si="2"/>
        <v>1.5072376963103215E-3</v>
      </c>
    </row>
    <row r="136" spans="1:8">
      <c r="A136" s="7">
        <v>45553</v>
      </c>
      <c r="B136" s="3">
        <v>25402.400000000001</v>
      </c>
      <c r="C136" s="3">
        <v>25482.2</v>
      </c>
      <c r="D136" s="3">
        <v>25285.55</v>
      </c>
      <c r="E136" s="3">
        <v>25418.55</v>
      </c>
      <c r="F136" s="3">
        <v>25377.55</v>
      </c>
      <c r="H136" s="10">
        <f t="shared" si="2"/>
        <v>-1.612995233795791E-3</v>
      </c>
    </row>
    <row r="137" spans="1:8">
      <c r="A137" s="7">
        <v>45552</v>
      </c>
      <c r="B137" s="3">
        <v>25416.9</v>
      </c>
      <c r="C137" s="3">
        <v>25441.65</v>
      </c>
      <c r="D137" s="3">
        <v>25352.25</v>
      </c>
      <c r="E137" s="3">
        <v>25383.75</v>
      </c>
      <c r="F137" s="3">
        <v>25418.55</v>
      </c>
      <c r="H137" s="10">
        <f t="shared" si="2"/>
        <v>1.3709558280395637E-3</v>
      </c>
    </row>
    <row r="138" spans="1:8">
      <c r="A138" s="7">
        <v>45551</v>
      </c>
      <c r="B138" s="3">
        <v>25406.65</v>
      </c>
      <c r="C138" s="3">
        <v>25445.7</v>
      </c>
      <c r="D138" s="3">
        <v>25336.2</v>
      </c>
      <c r="E138" s="3">
        <v>25356.5</v>
      </c>
      <c r="F138" s="3">
        <v>25383.75</v>
      </c>
      <c r="H138" s="10">
        <f t="shared" si="2"/>
        <v>1.0746751326089958E-3</v>
      </c>
    </row>
    <row r="139" spans="1:8">
      <c r="A139" s="7">
        <v>45548</v>
      </c>
      <c r="B139" s="3">
        <v>25430.45</v>
      </c>
      <c r="C139" s="3">
        <v>25430.5</v>
      </c>
      <c r="D139" s="3">
        <v>25292.45</v>
      </c>
      <c r="E139" s="3">
        <v>25388.9</v>
      </c>
      <c r="F139" s="3">
        <v>25356.5</v>
      </c>
      <c r="H139" s="10">
        <f t="shared" si="2"/>
        <v>-1.2761482380095812E-3</v>
      </c>
    </row>
    <row r="140" spans="1:8">
      <c r="A140" s="7">
        <v>45547</v>
      </c>
      <c r="B140" s="3">
        <v>25059.65</v>
      </c>
      <c r="C140" s="3">
        <v>25433.35</v>
      </c>
      <c r="D140" s="3">
        <v>24941.45</v>
      </c>
      <c r="E140" s="3">
        <v>24918.45</v>
      </c>
      <c r="F140" s="3">
        <v>25388.9</v>
      </c>
      <c r="H140" s="10">
        <f t="shared" si="2"/>
        <v>1.8879585206945083E-2</v>
      </c>
    </row>
    <row r="141" spans="1:8">
      <c r="A141" s="7">
        <v>45546</v>
      </c>
      <c r="B141" s="3">
        <v>25034</v>
      </c>
      <c r="C141" s="3">
        <v>25113.7</v>
      </c>
      <c r="D141" s="3">
        <v>24885.15</v>
      </c>
      <c r="E141" s="3">
        <v>25041.1</v>
      </c>
      <c r="F141" s="3">
        <v>24918.45</v>
      </c>
      <c r="H141" s="10">
        <f t="shared" si="2"/>
        <v>-4.8979477738596879E-3</v>
      </c>
    </row>
    <row r="142" spans="1:8">
      <c r="A142" s="7">
        <v>45545</v>
      </c>
      <c r="B142" s="3">
        <v>24999.4</v>
      </c>
      <c r="C142" s="3">
        <v>25130.5</v>
      </c>
      <c r="D142" s="3">
        <v>24896.799999999999</v>
      </c>
      <c r="E142" s="3">
        <v>24936.400000000001</v>
      </c>
      <c r="F142" s="3">
        <v>25041.1</v>
      </c>
      <c r="H142" s="10">
        <f t="shared" si="2"/>
        <v>4.1986814455974835E-3</v>
      </c>
    </row>
    <row r="143" spans="1:8">
      <c r="A143" s="7">
        <v>45544</v>
      </c>
      <c r="B143" s="3">
        <v>24823.4</v>
      </c>
      <c r="C143" s="3">
        <v>24957.5</v>
      </c>
      <c r="D143" s="3">
        <v>24753.15</v>
      </c>
      <c r="E143" s="3">
        <v>24852.15</v>
      </c>
      <c r="F143" s="3">
        <v>24936.400000000001</v>
      </c>
      <c r="H143" s="10">
        <f t="shared" si="2"/>
        <v>3.3900487482974306E-3</v>
      </c>
    </row>
    <row r="144" spans="1:8">
      <c r="A144" s="7">
        <v>45541</v>
      </c>
      <c r="B144" s="3">
        <v>25093.7</v>
      </c>
      <c r="C144" s="3">
        <v>25168.75</v>
      </c>
      <c r="D144" s="3">
        <v>24801.3</v>
      </c>
      <c r="E144" s="3">
        <v>25145.1</v>
      </c>
      <c r="F144" s="3">
        <v>24852.15</v>
      </c>
      <c r="H144" s="10">
        <f t="shared" si="2"/>
        <v>-1.1650381187587128E-2</v>
      </c>
    </row>
    <row r="145" spans="1:8">
      <c r="A145" s="7">
        <v>45540</v>
      </c>
      <c r="B145" s="3">
        <v>25250.5</v>
      </c>
      <c r="C145" s="3">
        <v>25275.45</v>
      </c>
      <c r="D145" s="3">
        <v>25127.75</v>
      </c>
      <c r="E145" s="3">
        <v>25198.7</v>
      </c>
      <c r="F145" s="3">
        <v>25145.1</v>
      </c>
      <c r="H145" s="10">
        <f t="shared" si="2"/>
        <v>-2.1270938580165715E-3</v>
      </c>
    </row>
    <row r="146" spans="1:8">
      <c r="A146" s="7">
        <v>45539</v>
      </c>
      <c r="B146" s="3">
        <v>25089.95</v>
      </c>
      <c r="C146" s="3">
        <v>25216</v>
      </c>
      <c r="D146" s="3">
        <v>25083.8</v>
      </c>
      <c r="E146" s="3">
        <v>25279.85</v>
      </c>
      <c r="F146" s="3">
        <v>25198.7</v>
      </c>
      <c r="H146" s="10">
        <f t="shared" si="2"/>
        <v>-3.2100665154262318E-3</v>
      </c>
    </row>
    <row r="147" spans="1:8">
      <c r="A147" s="7">
        <v>45538</v>
      </c>
      <c r="B147" s="3">
        <v>25313.4</v>
      </c>
      <c r="C147" s="3">
        <v>25321.7</v>
      </c>
      <c r="D147" s="3">
        <v>25235.8</v>
      </c>
      <c r="E147" s="3">
        <v>25278.7</v>
      </c>
      <c r="F147" s="3">
        <v>25279.85</v>
      </c>
      <c r="H147" s="10">
        <f t="shared" si="2"/>
        <v>4.5492845755431141E-5</v>
      </c>
    </row>
    <row r="148" spans="1:8">
      <c r="A148" s="7">
        <v>45537</v>
      </c>
      <c r="B148" s="3">
        <v>25333.599999999999</v>
      </c>
      <c r="C148" s="3">
        <v>25333.65</v>
      </c>
      <c r="D148" s="3">
        <v>25235.5</v>
      </c>
      <c r="E148" s="3">
        <v>25235.9</v>
      </c>
      <c r="F148" s="3">
        <v>25278.7</v>
      </c>
      <c r="H148" s="10">
        <f t="shared" si="2"/>
        <v>1.6959965763059478E-3</v>
      </c>
    </row>
    <row r="149" spans="1:8">
      <c r="A149" s="7">
        <v>45534</v>
      </c>
      <c r="B149" s="3">
        <v>25249.7</v>
      </c>
      <c r="C149" s="3">
        <v>25268.35</v>
      </c>
      <c r="D149" s="3">
        <v>25199.4</v>
      </c>
      <c r="E149" s="3">
        <v>25151.95</v>
      </c>
      <c r="F149" s="3">
        <v>25235.9</v>
      </c>
      <c r="H149" s="10">
        <f t="shared" si="2"/>
        <v>3.3377133780880101E-3</v>
      </c>
    </row>
    <row r="150" spans="1:8">
      <c r="A150" s="7">
        <v>45533</v>
      </c>
      <c r="B150" s="3">
        <v>25035.3</v>
      </c>
      <c r="C150" s="3">
        <v>25192.9</v>
      </c>
      <c r="D150" s="3">
        <v>24998.5</v>
      </c>
      <c r="E150" s="3">
        <v>25052.35</v>
      </c>
      <c r="F150" s="3">
        <v>25151.95</v>
      </c>
      <c r="H150" s="10">
        <f t="shared" si="2"/>
        <v>3.9756749366826744E-3</v>
      </c>
    </row>
    <row r="151" spans="1:8">
      <c r="A151" s="7">
        <v>45532</v>
      </c>
      <c r="B151" s="3">
        <v>25030.799999999999</v>
      </c>
      <c r="C151" s="3">
        <v>25129.599999999999</v>
      </c>
      <c r="D151" s="3">
        <v>24964.65</v>
      </c>
      <c r="E151" s="3">
        <v>25017.75</v>
      </c>
      <c r="F151" s="3">
        <v>25052.35</v>
      </c>
      <c r="H151" s="10">
        <f t="shared" si="2"/>
        <v>1.3830180571793446E-3</v>
      </c>
    </row>
    <row r="152" spans="1:8">
      <c r="A152" s="7">
        <v>45531</v>
      </c>
      <c r="B152" s="3">
        <v>25024.799999999999</v>
      </c>
      <c r="C152" s="3">
        <v>25073.1</v>
      </c>
      <c r="D152" s="3">
        <v>24973.65</v>
      </c>
      <c r="E152" s="3">
        <v>25010.6</v>
      </c>
      <c r="F152" s="3">
        <v>25017.75</v>
      </c>
      <c r="H152" s="10">
        <f t="shared" si="2"/>
        <v>2.8587878739420311E-4</v>
      </c>
    </row>
    <row r="153" spans="1:8">
      <c r="A153" s="7">
        <v>45530</v>
      </c>
      <c r="B153" s="3">
        <v>24906.1</v>
      </c>
      <c r="C153" s="3">
        <v>25043.8</v>
      </c>
      <c r="D153" s="3">
        <v>24874.7</v>
      </c>
      <c r="E153" s="3">
        <v>24823.15</v>
      </c>
      <c r="F153" s="3">
        <v>25010.6</v>
      </c>
      <c r="H153" s="10">
        <f t="shared" si="2"/>
        <v>7.5514187361393325E-3</v>
      </c>
    </row>
    <row r="154" spans="1:8">
      <c r="A154" s="7">
        <v>45527</v>
      </c>
      <c r="B154" s="3">
        <v>24845.4</v>
      </c>
      <c r="C154" s="3">
        <v>24858.400000000001</v>
      </c>
      <c r="D154" s="3">
        <v>24771.65</v>
      </c>
      <c r="E154" s="3">
        <v>24811.5</v>
      </c>
      <c r="F154" s="3">
        <v>24823.15</v>
      </c>
      <c r="H154" s="10">
        <f t="shared" si="2"/>
        <v>4.6954033411931789E-4</v>
      </c>
    </row>
    <row r="155" spans="1:8">
      <c r="A155" s="7">
        <v>45526</v>
      </c>
      <c r="B155" s="3">
        <v>24863.4</v>
      </c>
      <c r="C155" s="3">
        <v>24867.35</v>
      </c>
      <c r="D155" s="3">
        <v>24784.45</v>
      </c>
      <c r="E155" s="3">
        <v>24770.2</v>
      </c>
      <c r="F155" s="3">
        <v>24811.5</v>
      </c>
      <c r="H155" s="10">
        <f t="shared" si="2"/>
        <v>1.6673260611540994E-3</v>
      </c>
    </row>
    <row r="156" spans="1:8">
      <c r="A156" s="7">
        <v>45525</v>
      </c>
      <c r="B156" s="3">
        <v>24680.55</v>
      </c>
      <c r="C156" s="3">
        <v>24787.95</v>
      </c>
      <c r="D156" s="3">
        <v>24654.5</v>
      </c>
      <c r="E156" s="3">
        <v>24698.85</v>
      </c>
      <c r="F156" s="3">
        <v>24770.2</v>
      </c>
      <c r="H156" s="10">
        <f t="shared" si="2"/>
        <v>2.8887984663254437E-3</v>
      </c>
    </row>
    <row r="157" spans="1:8">
      <c r="A157" s="7">
        <v>45524</v>
      </c>
      <c r="B157" s="3">
        <v>24648.9</v>
      </c>
      <c r="C157" s="3">
        <v>24734.3</v>
      </c>
      <c r="D157" s="3">
        <v>24607.200000000001</v>
      </c>
      <c r="E157" s="3">
        <v>24572.65</v>
      </c>
      <c r="F157" s="3">
        <v>24698.85</v>
      </c>
      <c r="H157" s="10">
        <f t="shared" si="2"/>
        <v>5.135791215029599E-3</v>
      </c>
    </row>
    <row r="158" spans="1:8">
      <c r="A158" s="7">
        <v>45523</v>
      </c>
      <c r="B158" s="3">
        <v>24636.35</v>
      </c>
      <c r="C158" s="3">
        <v>24638.799999999999</v>
      </c>
      <c r="D158" s="3">
        <v>24522.95</v>
      </c>
      <c r="E158" s="3">
        <v>24541.15</v>
      </c>
      <c r="F158" s="3">
        <v>24572.65</v>
      </c>
      <c r="H158" s="10">
        <f t="shared" si="2"/>
        <v>1.2835584314508488E-3</v>
      </c>
    </row>
    <row r="159" spans="1:8">
      <c r="A159" s="7">
        <v>45520</v>
      </c>
      <c r="B159" s="3">
        <v>24334.85</v>
      </c>
      <c r="C159" s="3">
        <v>24563.9</v>
      </c>
      <c r="D159" s="3">
        <v>24204.5</v>
      </c>
      <c r="E159" s="3">
        <v>24143.75</v>
      </c>
      <c r="F159" s="3">
        <v>24541.15</v>
      </c>
      <c r="H159" s="10">
        <f t="shared" si="2"/>
        <v>1.6459746311157191E-2</v>
      </c>
    </row>
    <row r="160" spans="1:8">
      <c r="A160" s="7">
        <v>45518</v>
      </c>
      <c r="B160" s="3">
        <v>24184.400000000001</v>
      </c>
      <c r="C160" s="3">
        <v>24196.5</v>
      </c>
      <c r="D160" s="3">
        <v>24099.7</v>
      </c>
      <c r="E160" s="3">
        <v>24139</v>
      </c>
      <c r="F160" s="3">
        <v>24143.75</v>
      </c>
      <c r="H160" s="10">
        <f t="shared" si="2"/>
        <v>1.9677699987571978E-4</v>
      </c>
    </row>
    <row r="161" spans="1:8">
      <c r="A161" s="7">
        <v>45517</v>
      </c>
      <c r="B161" s="3">
        <v>24342.35</v>
      </c>
      <c r="C161" s="3">
        <v>24359.95</v>
      </c>
      <c r="D161" s="3">
        <v>24116.5</v>
      </c>
      <c r="E161" s="3">
        <v>24347</v>
      </c>
      <c r="F161" s="3">
        <v>24139</v>
      </c>
      <c r="H161" s="10">
        <f t="shared" si="2"/>
        <v>-8.5431469996303452E-3</v>
      </c>
    </row>
    <row r="162" spans="1:8">
      <c r="A162" s="7">
        <v>45516</v>
      </c>
      <c r="B162" s="3">
        <v>24320.05</v>
      </c>
      <c r="C162" s="3">
        <v>24472.799999999999</v>
      </c>
      <c r="D162" s="3">
        <v>24212.1</v>
      </c>
      <c r="E162" s="3">
        <v>24367.5</v>
      </c>
      <c r="F162" s="3">
        <v>24347</v>
      </c>
      <c r="H162" s="10">
        <f t="shared" si="2"/>
        <v>-8.412844977941931E-4</v>
      </c>
    </row>
    <row r="163" spans="1:8">
      <c r="A163" s="7">
        <v>45513</v>
      </c>
      <c r="B163" s="3">
        <v>24386.85</v>
      </c>
      <c r="C163" s="3">
        <v>24419.75</v>
      </c>
      <c r="D163" s="3">
        <v>24311.200000000001</v>
      </c>
      <c r="E163" s="3">
        <v>24117</v>
      </c>
      <c r="F163" s="3">
        <v>24367.5</v>
      </c>
      <c r="H163" s="10">
        <f t="shared" si="2"/>
        <v>1.0386864037815649E-2</v>
      </c>
    </row>
    <row r="164" spans="1:8">
      <c r="A164" s="7">
        <v>45512</v>
      </c>
      <c r="B164" s="3">
        <v>24248.55</v>
      </c>
      <c r="C164" s="3">
        <v>24340.5</v>
      </c>
      <c r="D164" s="3">
        <v>24079.7</v>
      </c>
      <c r="E164" s="3">
        <v>24297.5</v>
      </c>
      <c r="F164" s="3">
        <v>24117</v>
      </c>
      <c r="H164" s="10">
        <f t="shared" si="2"/>
        <v>-7.428747813561066E-3</v>
      </c>
    </row>
    <row r="165" spans="1:8">
      <c r="A165" s="7">
        <v>45511</v>
      </c>
      <c r="B165" s="3">
        <v>24289.4</v>
      </c>
      <c r="C165" s="3">
        <v>24337.7</v>
      </c>
      <c r="D165" s="3">
        <v>24184.9</v>
      </c>
      <c r="E165" s="3">
        <v>23992.55</v>
      </c>
      <c r="F165" s="3">
        <v>24297.5</v>
      </c>
      <c r="H165" s="10">
        <f t="shared" si="2"/>
        <v>1.2710195456506321E-2</v>
      </c>
    </row>
    <row r="166" spans="1:8">
      <c r="A166" s="7">
        <v>45510</v>
      </c>
      <c r="B166" s="3">
        <v>24189.85</v>
      </c>
      <c r="C166" s="3">
        <v>24382.6</v>
      </c>
      <c r="D166" s="3">
        <v>23960.400000000001</v>
      </c>
      <c r="E166" s="3">
        <v>24055.599999999999</v>
      </c>
      <c r="F166" s="3">
        <v>23992.55</v>
      </c>
      <c r="H166" s="10">
        <f t="shared" si="2"/>
        <v>-2.6210113237665773E-3</v>
      </c>
    </row>
    <row r="167" spans="1:8">
      <c r="A167" s="7">
        <v>45509</v>
      </c>
      <c r="B167" s="3">
        <v>24302.85</v>
      </c>
      <c r="C167" s="3">
        <v>24350.05</v>
      </c>
      <c r="D167" s="3">
        <v>23893.7</v>
      </c>
      <c r="E167" s="3">
        <v>24717.7</v>
      </c>
      <c r="F167" s="3">
        <v>24055.599999999999</v>
      </c>
      <c r="H167" s="10">
        <f t="shared" si="2"/>
        <v>-2.6786472851438529E-2</v>
      </c>
    </row>
    <row r="168" spans="1:8">
      <c r="A168" s="7">
        <v>45506</v>
      </c>
      <c r="B168" s="3">
        <v>24789</v>
      </c>
      <c r="C168" s="3">
        <v>24851.9</v>
      </c>
      <c r="D168" s="3">
        <v>24686.85</v>
      </c>
      <c r="E168" s="3">
        <v>25010.9</v>
      </c>
      <c r="F168" s="3">
        <v>24717.7</v>
      </c>
      <c r="H168" s="10">
        <f t="shared" si="2"/>
        <v>-1.1722888820474302E-2</v>
      </c>
    </row>
    <row r="169" spans="1:8">
      <c r="A169" s="7">
        <v>45505</v>
      </c>
      <c r="B169" s="3">
        <v>25030.95</v>
      </c>
      <c r="C169" s="3">
        <v>25078.3</v>
      </c>
      <c r="D169" s="3">
        <v>24956.400000000001</v>
      </c>
      <c r="E169" s="3">
        <v>24951.15</v>
      </c>
      <c r="F169" s="3">
        <v>25010.9</v>
      </c>
      <c r="H169" s="10">
        <f t="shared" si="2"/>
        <v>2.3946792031629802E-3</v>
      </c>
    </row>
    <row r="170" spans="1:8">
      <c r="A170" s="7">
        <v>45504</v>
      </c>
      <c r="B170" s="3">
        <v>24886.7</v>
      </c>
      <c r="C170" s="3">
        <v>24984.6</v>
      </c>
      <c r="D170" s="3">
        <v>24856.5</v>
      </c>
      <c r="E170" s="3">
        <v>24857.3</v>
      </c>
      <c r="F170" s="3">
        <v>24951.15</v>
      </c>
      <c r="H170" s="10">
        <f t="shared" si="2"/>
        <v>3.7755508442188887E-3</v>
      </c>
    </row>
    <row r="171" spans="1:8">
      <c r="A171" s="7">
        <v>45503</v>
      </c>
      <c r="B171" s="3">
        <v>24839.4</v>
      </c>
      <c r="C171" s="3">
        <v>24971.75</v>
      </c>
      <c r="D171" s="3">
        <v>24798.65</v>
      </c>
      <c r="E171" s="3">
        <v>24836.1</v>
      </c>
      <c r="F171" s="3">
        <v>24857.3</v>
      </c>
      <c r="H171" s="10">
        <f t="shared" si="2"/>
        <v>8.5359617653338197E-4</v>
      </c>
    </row>
    <row r="172" spans="1:8">
      <c r="A172" s="7">
        <v>45502</v>
      </c>
      <c r="B172" s="3">
        <v>24943.3</v>
      </c>
      <c r="C172" s="3">
        <v>24999.75</v>
      </c>
      <c r="D172" s="3">
        <v>24774.6</v>
      </c>
      <c r="E172" s="3">
        <v>24834.85</v>
      </c>
      <c r="F172" s="3">
        <v>24836.1</v>
      </c>
      <c r="H172" s="10">
        <f t="shared" si="2"/>
        <v>5.0332496471692003E-5</v>
      </c>
    </row>
    <row r="173" spans="1:8">
      <c r="A173" s="7">
        <v>45499</v>
      </c>
      <c r="B173" s="3">
        <v>24423.35</v>
      </c>
      <c r="C173" s="3">
        <v>24861.15</v>
      </c>
      <c r="D173" s="3">
        <v>24410.9</v>
      </c>
      <c r="E173" s="3">
        <v>24406.1</v>
      </c>
      <c r="F173" s="3">
        <v>24834.85</v>
      </c>
      <c r="H173" s="10">
        <f t="shared" si="2"/>
        <v>1.7567329479105633E-2</v>
      </c>
    </row>
    <row r="174" spans="1:8">
      <c r="A174" s="7">
        <v>45498</v>
      </c>
      <c r="B174" s="3">
        <v>24230.95</v>
      </c>
      <c r="C174" s="3">
        <v>24426.15</v>
      </c>
      <c r="D174" s="3">
        <v>24210.799999999999</v>
      </c>
      <c r="E174" s="3">
        <v>24413.5</v>
      </c>
      <c r="F174" s="3">
        <v>24406.1</v>
      </c>
      <c r="H174" s="10">
        <f t="shared" si="2"/>
        <v>-3.0311098367712352E-4</v>
      </c>
    </row>
    <row r="175" spans="1:8">
      <c r="A175" s="7">
        <v>45497</v>
      </c>
      <c r="B175" s="3">
        <v>24444.95</v>
      </c>
      <c r="C175" s="3">
        <v>24504.25</v>
      </c>
      <c r="D175" s="3">
        <v>24307.25</v>
      </c>
      <c r="E175" s="3">
        <v>24479.05</v>
      </c>
      <c r="F175" s="3">
        <v>24413.5</v>
      </c>
      <c r="H175" s="10">
        <f t="shared" si="2"/>
        <v>-2.677799996323357E-3</v>
      </c>
    </row>
    <row r="176" spans="1:8">
      <c r="A176" s="7">
        <v>45496</v>
      </c>
      <c r="B176" s="3">
        <v>24568.9</v>
      </c>
      <c r="C176" s="3">
        <v>24582.55</v>
      </c>
      <c r="D176" s="3">
        <v>24074.2</v>
      </c>
      <c r="E176" s="3">
        <v>24509.25</v>
      </c>
      <c r="F176" s="3">
        <v>24479.05</v>
      </c>
      <c r="H176" s="10">
        <f t="shared" si="2"/>
        <v>-1.2321878474453819E-3</v>
      </c>
    </row>
    <row r="177" spans="1:8">
      <c r="A177" s="7">
        <v>45495</v>
      </c>
      <c r="B177" s="3">
        <v>24445.75</v>
      </c>
      <c r="C177" s="3">
        <v>24595.200000000001</v>
      </c>
      <c r="D177" s="3">
        <v>24362.3</v>
      </c>
      <c r="E177" s="3">
        <v>24530.9</v>
      </c>
      <c r="F177" s="3">
        <v>24509.25</v>
      </c>
      <c r="H177" s="10">
        <f t="shared" si="2"/>
        <v>-8.8256036264472372E-4</v>
      </c>
    </row>
    <row r="178" spans="1:8">
      <c r="A178" s="7">
        <v>45492</v>
      </c>
      <c r="B178" s="3">
        <v>24853.8</v>
      </c>
      <c r="C178" s="3">
        <v>24854.799999999999</v>
      </c>
      <c r="D178" s="3">
        <v>24508.15</v>
      </c>
      <c r="E178" s="3">
        <v>24800.85</v>
      </c>
      <c r="F178" s="3">
        <v>24530.9</v>
      </c>
      <c r="H178" s="10">
        <f t="shared" si="2"/>
        <v>-1.0884707580586839E-2</v>
      </c>
    </row>
    <row r="179" spans="1:8">
      <c r="A179" s="7">
        <v>45491</v>
      </c>
      <c r="B179" s="3">
        <v>24543.8</v>
      </c>
      <c r="C179" s="3">
        <v>24837.75</v>
      </c>
      <c r="D179" s="3">
        <v>24504.45</v>
      </c>
      <c r="E179" s="3">
        <v>24613</v>
      </c>
      <c r="F179" s="3">
        <v>24800.85</v>
      </c>
      <c r="H179" s="10">
        <f t="shared" si="2"/>
        <v>7.6321456141063074E-3</v>
      </c>
    </row>
    <row r="180" spans="1:8">
      <c r="A180" s="7">
        <v>45489</v>
      </c>
      <c r="B180" s="3">
        <v>24615.9</v>
      </c>
      <c r="C180" s="3">
        <v>24661.25</v>
      </c>
      <c r="D180" s="3">
        <v>24587.65</v>
      </c>
      <c r="E180" s="3">
        <v>24586.7</v>
      </c>
      <c r="F180" s="3">
        <v>24613</v>
      </c>
      <c r="H180" s="10">
        <f t="shared" si="2"/>
        <v>1.0696840161550461E-3</v>
      </c>
    </row>
    <row r="181" spans="1:8">
      <c r="A181" s="7">
        <v>45488</v>
      </c>
      <c r="B181" s="3">
        <v>24587.599999999999</v>
      </c>
      <c r="C181" s="3">
        <v>24635.05</v>
      </c>
      <c r="D181" s="3">
        <v>24522.75</v>
      </c>
      <c r="E181" s="3">
        <v>24502.15</v>
      </c>
      <c r="F181" s="3">
        <v>24586.7</v>
      </c>
      <c r="H181" s="10">
        <f t="shared" si="2"/>
        <v>3.4507175900890031E-3</v>
      </c>
    </row>
    <row r="182" spans="1:8">
      <c r="A182" s="7">
        <v>45485</v>
      </c>
      <c r="B182" s="3">
        <v>24387.95</v>
      </c>
      <c r="C182" s="3">
        <v>24592.2</v>
      </c>
      <c r="D182" s="3">
        <v>24331.15</v>
      </c>
      <c r="E182" s="3">
        <v>24315.95</v>
      </c>
      <c r="F182" s="3">
        <v>24502.15</v>
      </c>
      <c r="H182" s="10">
        <f t="shared" si="2"/>
        <v>7.6575252046496524E-3</v>
      </c>
    </row>
    <row r="183" spans="1:8">
      <c r="A183" s="7">
        <v>45484</v>
      </c>
      <c r="B183" s="3">
        <v>24396.55</v>
      </c>
      <c r="C183" s="3">
        <v>24402.65</v>
      </c>
      <c r="D183" s="3">
        <v>24193.75</v>
      </c>
      <c r="E183" s="3">
        <v>24324.45</v>
      </c>
      <c r="F183" s="3">
        <v>24315.95</v>
      </c>
      <c r="H183" s="10">
        <f t="shared" si="2"/>
        <v>-3.4944263899080964E-4</v>
      </c>
    </row>
    <row r="184" spans="1:8">
      <c r="A184" s="7">
        <v>45483</v>
      </c>
      <c r="B184" s="3">
        <v>24459.85</v>
      </c>
      <c r="C184" s="3">
        <v>24461.05</v>
      </c>
      <c r="D184" s="3">
        <v>24141.8</v>
      </c>
      <c r="E184" s="3">
        <v>24433.200000000001</v>
      </c>
      <c r="F184" s="3">
        <v>24324.45</v>
      </c>
      <c r="H184" s="10">
        <f t="shared" si="2"/>
        <v>-4.4509110554491428E-3</v>
      </c>
    </row>
    <row r="185" spans="1:8">
      <c r="A185" s="7">
        <v>45482</v>
      </c>
      <c r="B185" s="3">
        <v>24351</v>
      </c>
      <c r="C185" s="3">
        <v>24443.599999999999</v>
      </c>
      <c r="D185" s="3">
        <v>24331.9</v>
      </c>
      <c r="E185" s="3">
        <v>24320.55</v>
      </c>
      <c r="F185" s="3">
        <v>24433.200000000001</v>
      </c>
      <c r="H185" s="10">
        <f t="shared" si="2"/>
        <v>4.6318853808816601E-3</v>
      </c>
    </row>
    <row r="186" spans="1:8">
      <c r="A186" s="7">
        <v>45481</v>
      </c>
      <c r="B186" s="3">
        <v>24329.45</v>
      </c>
      <c r="C186" s="3">
        <v>24344.6</v>
      </c>
      <c r="D186" s="3">
        <v>24240.55</v>
      </c>
      <c r="E186" s="3">
        <v>24323.85</v>
      </c>
      <c r="F186" s="3">
        <v>24320.55</v>
      </c>
      <c r="H186" s="10">
        <f t="shared" si="2"/>
        <v>-1.3566931221822501E-4</v>
      </c>
    </row>
    <row r="187" spans="1:8">
      <c r="A187" s="7">
        <v>45478</v>
      </c>
      <c r="B187" s="3">
        <v>24213.35</v>
      </c>
      <c r="C187" s="3">
        <v>24363</v>
      </c>
      <c r="D187" s="3">
        <v>24168.85</v>
      </c>
      <c r="E187" s="3">
        <v>24302.15</v>
      </c>
      <c r="F187" s="3">
        <v>24323.85</v>
      </c>
      <c r="H187" s="10">
        <f t="shared" si="2"/>
        <v>8.9292511156408331E-4</v>
      </c>
    </row>
    <row r="188" spans="1:8">
      <c r="A188" s="7">
        <v>45477</v>
      </c>
      <c r="B188" s="3">
        <v>24369.95</v>
      </c>
      <c r="C188" s="3">
        <v>24401</v>
      </c>
      <c r="D188" s="3">
        <v>24281</v>
      </c>
      <c r="E188" s="3">
        <v>24286.5</v>
      </c>
      <c r="F188" s="3">
        <v>24302.15</v>
      </c>
      <c r="H188" s="10">
        <f t="shared" si="2"/>
        <v>6.4439091676451749E-4</v>
      </c>
    </row>
    <row r="189" spans="1:8">
      <c r="A189" s="7">
        <v>45476</v>
      </c>
      <c r="B189" s="3">
        <v>24291.75</v>
      </c>
      <c r="C189" s="3">
        <v>24309.15</v>
      </c>
      <c r="D189" s="3">
        <v>24207.1</v>
      </c>
      <c r="E189" s="3">
        <v>24123.85</v>
      </c>
      <c r="F189" s="3">
        <v>24286.5</v>
      </c>
      <c r="H189" s="10">
        <f t="shared" si="2"/>
        <v>6.7422903060664636E-3</v>
      </c>
    </row>
    <row r="190" spans="1:8">
      <c r="A190" s="7">
        <v>45475</v>
      </c>
      <c r="B190" s="3">
        <v>24228.75</v>
      </c>
      <c r="C190" s="3">
        <v>24236.35</v>
      </c>
      <c r="D190" s="3">
        <v>24056.400000000001</v>
      </c>
      <c r="E190" s="3">
        <v>24141.95</v>
      </c>
      <c r="F190" s="3">
        <v>24123.85</v>
      </c>
      <c r="H190" s="10">
        <f t="shared" si="2"/>
        <v>-7.4973231242721412E-4</v>
      </c>
    </row>
    <row r="191" spans="1:8">
      <c r="A191" s="7">
        <v>45474</v>
      </c>
      <c r="B191" s="3">
        <v>23992.95</v>
      </c>
      <c r="C191" s="3">
        <v>24164</v>
      </c>
      <c r="D191" s="3">
        <v>23992.7</v>
      </c>
      <c r="E191" s="3">
        <v>24010.6</v>
      </c>
      <c r="F191" s="3">
        <v>24141.95</v>
      </c>
      <c r="H191" s="10">
        <f t="shared" si="2"/>
        <v>5.4705005289331461E-3</v>
      </c>
    </row>
    <row r="192" spans="1:8">
      <c r="A192" s="7">
        <v>45471</v>
      </c>
      <c r="B192" s="3">
        <v>24085.9</v>
      </c>
      <c r="C192" s="3">
        <v>24174</v>
      </c>
      <c r="D192" s="3">
        <v>23985.8</v>
      </c>
      <c r="E192" s="3">
        <v>24044.5</v>
      </c>
      <c r="F192" s="3">
        <v>24010.6</v>
      </c>
      <c r="H192" s="10">
        <f t="shared" si="2"/>
        <v>-1.409885836677887E-3</v>
      </c>
    </row>
    <row r="193" spans="1:8">
      <c r="A193" s="7">
        <v>45470</v>
      </c>
      <c r="B193" s="3">
        <v>23881.55</v>
      </c>
      <c r="C193" s="3">
        <v>24087.45</v>
      </c>
      <c r="D193" s="3">
        <v>23805.4</v>
      </c>
      <c r="E193" s="3">
        <v>23868.799999999999</v>
      </c>
      <c r="F193" s="3">
        <v>24044.5</v>
      </c>
      <c r="H193" s="10">
        <f t="shared" si="2"/>
        <v>7.3610738704920535E-3</v>
      </c>
    </row>
    <row r="194" spans="1:8">
      <c r="A194" s="7">
        <v>45469</v>
      </c>
      <c r="B194" s="3">
        <v>23723.1</v>
      </c>
      <c r="C194" s="3">
        <v>23889.9</v>
      </c>
      <c r="D194" s="3">
        <v>23670.45</v>
      </c>
      <c r="E194" s="3">
        <v>23721.3</v>
      </c>
      <c r="F194" s="3">
        <v>23868.799999999999</v>
      </c>
      <c r="H194" s="10">
        <f t="shared" si="2"/>
        <v>6.2180403266262809E-3</v>
      </c>
    </row>
    <row r="195" spans="1:8">
      <c r="A195" s="7">
        <v>45468</v>
      </c>
      <c r="B195" s="3">
        <v>23577.1</v>
      </c>
      <c r="C195" s="3">
        <v>23754.15</v>
      </c>
      <c r="D195" s="3">
        <v>23562.05</v>
      </c>
      <c r="E195" s="3">
        <v>23537.85</v>
      </c>
      <c r="F195" s="3">
        <v>23721.3</v>
      </c>
      <c r="H195" s="10">
        <f t="shared" si="2"/>
        <v>7.7938299377386102E-3</v>
      </c>
    </row>
    <row r="196" spans="1:8">
      <c r="A196" s="7">
        <v>45467</v>
      </c>
      <c r="B196" s="3">
        <v>23382.3</v>
      </c>
      <c r="C196" s="3">
        <v>23558.1</v>
      </c>
      <c r="D196" s="3">
        <v>23350</v>
      </c>
      <c r="E196" s="3">
        <v>23501.1</v>
      </c>
      <c r="F196" s="3">
        <v>23537.85</v>
      </c>
      <c r="H196" s="10">
        <f t="shared" si="2"/>
        <v>1.5637565901170584E-3</v>
      </c>
    </row>
    <row r="197" spans="1:8">
      <c r="A197" s="7">
        <v>45464</v>
      </c>
      <c r="B197" s="3">
        <v>23661.15</v>
      </c>
      <c r="C197" s="3">
        <v>23667.1</v>
      </c>
      <c r="D197" s="3">
        <v>23398.2</v>
      </c>
      <c r="E197" s="3">
        <v>23567</v>
      </c>
      <c r="F197" s="3">
        <v>23501.1</v>
      </c>
      <c r="H197" s="10">
        <f t="shared" ref="H197:H252" si="3">(F197-E197)/E197</f>
        <v>-2.7962829380065962E-3</v>
      </c>
    </row>
    <row r="198" spans="1:8">
      <c r="A198" s="7">
        <v>45463</v>
      </c>
      <c r="B198" s="3">
        <v>23586.15</v>
      </c>
      <c r="C198" s="3">
        <v>23624</v>
      </c>
      <c r="D198" s="3">
        <v>23442.6</v>
      </c>
      <c r="E198" s="3">
        <v>23516</v>
      </c>
      <c r="F198" s="3">
        <v>23567</v>
      </c>
      <c r="H198" s="10">
        <f t="shared" si="3"/>
        <v>2.1687361796223848E-3</v>
      </c>
    </row>
    <row r="199" spans="1:8">
      <c r="A199" s="7">
        <v>45462</v>
      </c>
      <c r="B199" s="3">
        <v>23629.85</v>
      </c>
      <c r="C199" s="3">
        <v>23664</v>
      </c>
      <c r="D199" s="3">
        <v>23412.9</v>
      </c>
      <c r="E199" s="3">
        <v>23557.9</v>
      </c>
      <c r="F199" s="3">
        <v>23516</v>
      </c>
      <c r="H199" s="10">
        <f t="shared" si="3"/>
        <v>-1.7785965642099445E-3</v>
      </c>
    </row>
    <row r="200" spans="1:8">
      <c r="A200" s="7">
        <v>45461</v>
      </c>
      <c r="B200" s="3">
        <v>23570.799999999999</v>
      </c>
      <c r="C200" s="3">
        <v>23579.05</v>
      </c>
      <c r="D200" s="3">
        <v>23499.7</v>
      </c>
      <c r="E200" s="3">
        <v>23465.599999999999</v>
      </c>
      <c r="F200" s="3">
        <v>23557.9</v>
      </c>
      <c r="H200" s="10">
        <f t="shared" si="3"/>
        <v>3.9334174280650364E-3</v>
      </c>
    </row>
    <row r="201" spans="1:8">
      <c r="A201" s="7">
        <v>45457</v>
      </c>
      <c r="B201" s="3">
        <v>23464.95</v>
      </c>
      <c r="C201" s="3">
        <v>23490.400000000001</v>
      </c>
      <c r="D201" s="3">
        <v>23334.25</v>
      </c>
      <c r="E201" s="3">
        <v>23398.9</v>
      </c>
      <c r="F201" s="3">
        <v>23465.599999999999</v>
      </c>
      <c r="H201" s="10">
        <f t="shared" si="3"/>
        <v>2.8505613511745033E-3</v>
      </c>
    </row>
    <row r="202" spans="1:8">
      <c r="A202" s="7">
        <v>45456</v>
      </c>
      <c r="B202" s="3">
        <v>23480.95</v>
      </c>
      <c r="C202" s="3">
        <v>23481.05</v>
      </c>
      <c r="D202" s="3">
        <v>23353.9</v>
      </c>
      <c r="E202" s="3">
        <v>23322.95</v>
      </c>
      <c r="F202" s="3">
        <v>23398.9</v>
      </c>
      <c r="H202" s="10">
        <f t="shared" si="3"/>
        <v>3.2564491198583683E-3</v>
      </c>
    </row>
    <row r="203" spans="1:8">
      <c r="A203" s="7">
        <v>45455</v>
      </c>
      <c r="B203" s="3">
        <v>23344.45</v>
      </c>
      <c r="C203" s="3">
        <v>23441.95</v>
      </c>
      <c r="D203" s="3">
        <v>23295.95</v>
      </c>
      <c r="E203" s="3">
        <v>23264.85</v>
      </c>
      <c r="F203" s="3">
        <v>23322.95</v>
      </c>
      <c r="H203" s="10">
        <f t="shared" si="3"/>
        <v>2.4973296625597063E-3</v>
      </c>
    </row>
    <row r="204" spans="1:8">
      <c r="A204" s="7">
        <v>45454</v>
      </c>
      <c r="B204" s="3">
        <v>23283.75</v>
      </c>
      <c r="C204" s="3">
        <v>23389.45</v>
      </c>
      <c r="D204" s="3">
        <v>23206.65</v>
      </c>
      <c r="E204" s="3">
        <v>23259.200000000001</v>
      </c>
      <c r="F204" s="3">
        <v>23264.85</v>
      </c>
      <c r="H204" s="10">
        <f t="shared" si="3"/>
        <v>2.4291463162954088E-4</v>
      </c>
    </row>
    <row r="205" spans="1:8">
      <c r="A205" s="7">
        <v>45453</v>
      </c>
      <c r="B205" s="3">
        <v>23319.15</v>
      </c>
      <c r="C205" s="3">
        <v>23411.9</v>
      </c>
      <c r="D205" s="3">
        <v>23227.15</v>
      </c>
      <c r="E205" s="3">
        <v>23290.15</v>
      </c>
      <c r="F205" s="3">
        <v>23259.200000000001</v>
      </c>
      <c r="H205" s="10">
        <f t="shared" si="3"/>
        <v>-1.3288879633665187E-3</v>
      </c>
    </row>
    <row r="206" spans="1:8">
      <c r="A206" s="7">
        <v>45450</v>
      </c>
      <c r="B206" s="3">
        <v>22821.85</v>
      </c>
      <c r="C206" s="3">
        <v>23320.2</v>
      </c>
      <c r="D206" s="3">
        <v>22789.05</v>
      </c>
      <c r="E206" s="3">
        <v>22821.4</v>
      </c>
      <c r="F206" s="3">
        <v>23290.15</v>
      </c>
      <c r="H206" s="10">
        <f t="shared" si="3"/>
        <v>2.0539931818380992E-2</v>
      </c>
    </row>
    <row r="207" spans="1:8">
      <c r="A207" s="7">
        <v>45449</v>
      </c>
      <c r="B207" s="3">
        <v>22798.6</v>
      </c>
      <c r="C207" s="3">
        <v>22910.15</v>
      </c>
      <c r="D207" s="3">
        <v>22642.6</v>
      </c>
      <c r="E207" s="3">
        <v>22620.35</v>
      </c>
      <c r="F207" s="3">
        <v>22821.4</v>
      </c>
      <c r="H207" s="10">
        <f t="shared" si="3"/>
        <v>8.8880145532674298E-3</v>
      </c>
    </row>
    <row r="208" spans="1:8">
      <c r="A208" s="7">
        <v>45448</v>
      </c>
      <c r="B208" s="3">
        <v>22128.35</v>
      </c>
      <c r="C208" s="3">
        <v>22670.400000000001</v>
      </c>
      <c r="D208" s="3">
        <v>21791.95</v>
      </c>
      <c r="E208" s="3">
        <v>21884.5</v>
      </c>
      <c r="F208" s="3">
        <v>22620.35</v>
      </c>
      <c r="H208" s="10">
        <f t="shared" si="3"/>
        <v>3.3624254609426696E-2</v>
      </c>
    </row>
    <row r="209" spans="1:8">
      <c r="A209" s="7">
        <v>45447</v>
      </c>
      <c r="B209" s="3">
        <v>23179.5</v>
      </c>
      <c r="C209" s="3">
        <v>23179.5</v>
      </c>
      <c r="D209" s="3">
        <v>21281.45</v>
      </c>
      <c r="E209" s="3">
        <v>23263.9</v>
      </c>
      <c r="F209" s="3">
        <v>21884.5</v>
      </c>
      <c r="H209" s="10">
        <f t="shared" si="3"/>
        <v>-5.9293583620975046E-2</v>
      </c>
    </row>
    <row r="210" spans="1:8">
      <c r="A210" s="7">
        <v>45446</v>
      </c>
      <c r="B210" s="3">
        <v>23337.9</v>
      </c>
      <c r="C210" s="3">
        <v>23338.7</v>
      </c>
      <c r="D210" s="3">
        <v>23062.3</v>
      </c>
      <c r="E210" s="3">
        <v>22530.7</v>
      </c>
      <c r="F210" s="3">
        <v>23263.9</v>
      </c>
      <c r="H210" s="10">
        <f t="shared" si="3"/>
        <v>3.2542264554585552E-2</v>
      </c>
    </row>
    <row r="211" spans="1:8">
      <c r="A211" s="7">
        <v>45443</v>
      </c>
      <c r="B211" s="3">
        <v>22568.1</v>
      </c>
      <c r="C211" s="3">
        <v>22653.75</v>
      </c>
      <c r="D211" s="3">
        <v>22465.1</v>
      </c>
      <c r="E211" s="3">
        <v>22488.65</v>
      </c>
      <c r="F211" s="3">
        <v>22530.7</v>
      </c>
      <c r="H211" s="10">
        <f t="shared" si="3"/>
        <v>1.869832115311469E-3</v>
      </c>
    </row>
    <row r="212" spans="1:8">
      <c r="A212" s="7">
        <v>45442</v>
      </c>
      <c r="B212" s="3">
        <v>22617.45</v>
      </c>
      <c r="C212" s="3">
        <v>22705.75</v>
      </c>
      <c r="D212" s="3">
        <v>22417</v>
      </c>
      <c r="E212" s="3">
        <v>22704.7</v>
      </c>
      <c r="F212" s="3">
        <v>22488.65</v>
      </c>
      <c r="H212" s="10">
        <f t="shared" si="3"/>
        <v>-9.5156509445180632E-3</v>
      </c>
    </row>
    <row r="213" spans="1:8">
      <c r="A213" s="7">
        <v>45441</v>
      </c>
      <c r="B213" s="3">
        <v>22762.75</v>
      </c>
      <c r="C213" s="3">
        <v>22825.5</v>
      </c>
      <c r="D213" s="3">
        <v>22685.45</v>
      </c>
      <c r="E213" s="3">
        <v>22888.15</v>
      </c>
      <c r="F213" s="3">
        <v>22704.7</v>
      </c>
      <c r="H213" s="10">
        <f t="shared" si="3"/>
        <v>-8.0150645639774608E-3</v>
      </c>
    </row>
    <row r="214" spans="1:8">
      <c r="A214" s="7">
        <v>45440</v>
      </c>
      <c r="B214" s="3">
        <v>22977.15</v>
      </c>
      <c r="C214" s="3">
        <v>22998.55</v>
      </c>
      <c r="D214" s="3">
        <v>22858.5</v>
      </c>
      <c r="E214" s="3">
        <v>22932.45</v>
      </c>
      <c r="F214" s="3">
        <v>22888.15</v>
      </c>
      <c r="H214" s="10">
        <f t="shared" si="3"/>
        <v>-1.9317604529825322E-3</v>
      </c>
    </row>
    <row r="215" spans="1:8">
      <c r="A215" s="7">
        <v>45439</v>
      </c>
      <c r="B215" s="3">
        <v>23038.95</v>
      </c>
      <c r="C215" s="3">
        <v>23110.799999999999</v>
      </c>
      <c r="D215" s="3">
        <v>22871.200000000001</v>
      </c>
      <c r="E215" s="3">
        <v>22957.1</v>
      </c>
      <c r="F215" s="3">
        <v>22932.45</v>
      </c>
      <c r="H215" s="10">
        <f t="shared" si="3"/>
        <v>-1.0737418924863253E-3</v>
      </c>
    </row>
    <row r="216" spans="1:8">
      <c r="A216" s="7">
        <v>45436</v>
      </c>
      <c r="B216" s="3">
        <v>22930.75</v>
      </c>
      <c r="C216" s="3">
        <v>23026.400000000001</v>
      </c>
      <c r="D216" s="3">
        <v>22908</v>
      </c>
      <c r="E216" s="3">
        <v>22967.65</v>
      </c>
      <c r="F216" s="3">
        <v>22957.1</v>
      </c>
      <c r="H216" s="10">
        <f t="shared" si="3"/>
        <v>-4.5934172629776704E-4</v>
      </c>
    </row>
    <row r="217" spans="1:8">
      <c r="A217" s="7">
        <v>45435</v>
      </c>
      <c r="B217" s="3">
        <v>22614.1</v>
      </c>
      <c r="C217" s="3">
        <v>22993.599999999999</v>
      </c>
      <c r="D217" s="3">
        <v>22577.45</v>
      </c>
      <c r="E217" s="3">
        <v>22597.8</v>
      </c>
      <c r="F217" s="3">
        <v>22967.65</v>
      </c>
      <c r="H217" s="10">
        <f t="shared" si="3"/>
        <v>1.6366637460283842E-2</v>
      </c>
    </row>
    <row r="218" spans="1:8">
      <c r="A218" s="7">
        <v>45434</v>
      </c>
      <c r="B218" s="3">
        <v>22576.6</v>
      </c>
      <c r="C218" s="3">
        <v>22629.5</v>
      </c>
      <c r="D218" s="3">
        <v>22483.15</v>
      </c>
      <c r="E218" s="3">
        <v>22529.05</v>
      </c>
      <c r="F218" s="3">
        <v>22597.8</v>
      </c>
      <c r="H218" s="10">
        <f t="shared" si="3"/>
        <v>3.0516155807723809E-3</v>
      </c>
    </row>
    <row r="219" spans="1:8">
      <c r="A219" s="7">
        <v>45433</v>
      </c>
      <c r="B219" s="3">
        <v>22404.55</v>
      </c>
      <c r="C219" s="3">
        <v>22591.1</v>
      </c>
      <c r="D219" s="3">
        <v>22404.55</v>
      </c>
      <c r="E219" s="3">
        <v>22502</v>
      </c>
      <c r="F219" s="3">
        <v>22529.05</v>
      </c>
      <c r="H219" s="10">
        <f t="shared" si="3"/>
        <v>1.2021153675228545E-3</v>
      </c>
    </row>
    <row r="220" spans="1:8">
      <c r="A220" s="7">
        <v>45430</v>
      </c>
      <c r="B220" s="3">
        <v>22512.85</v>
      </c>
      <c r="C220" s="3">
        <v>22520.25</v>
      </c>
      <c r="D220" s="3">
        <v>22470.05</v>
      </c>
      <c r="E220" s="3">
        <v>22466.1</v>
      </c>
      <c r="F220" s="3">
        <v>22502</v>
      </c>
      <c r="H220" s="10">
        <f t="shared" si="3"/>
        <v>1.5979631533733695E-3</v>
      </c>
    </row>
    <row r="221" spans="1:8">
      <c r="A221" s="7">
        <v>45429</v>
      </c>
      <c r="B221" s="3">
        <v>22415.25</v>
      </c>
      <c r="C221" s="3">
        <v>22502.15</v>
      </c>
      <c r="D221" s="3">
        <v>22345.65</v>
      </c>
      <c r="E221" s="3">
        <v>22403.85</v>
      </c>
      <c r="F221" s="3">
        <v>22466.1</v>
      </c>
      <c r="H221" s="10">
        <f t="shared" si="3"/>
        <v>2.778540295529563E-3</v>
      </c>
    </row>
    <row r="222" spans="1:8">
      <c r="A222" s="7">
        <v>45428</v>
      </c>
      <c r="B222" s="3">
        <v>22319.200000000001</v>
      </c>
      <c r="C222" s="3">
        <v>22432.25</v>
      </c>
      <c r="D222" s="3">
        <v>22054.55</v>
      </c>
      <c r="E222" s="3">
        <v>22200.55</v>
      </c>
      <c r="F222" s="3">
        <v>22403.85</v>
      </c>
      <c r="H222" s="10">
        <f t="shared" si="3"/>
        <v>9.1574307843724275E-3</v>
      </c>
    </row>
    <row r="223" spans="1:8">
      <c r="A223" s="7">
        <v>45427</v>
      </c>
      <c r="B223" s="3">
        <v>22255.599999999999</v>
      </c>
      <c r="C223" s="3">
        <v>22297.55</v>
      </c>
      <c r="D223" s="3">
        <v>22151.75</v>
      </c>
      <c r="E223" s="3">
        <v>22217.85</v>
      </c>
      <c r="F223" s="3">
        <v>22200.55</v>
      </c>
      <c r="H223" s="10">
        <f t="shared" si="3"/>
        <v>-7.7865320001707064E-4</v>
      </c>
    </row>
    <row r="224" spans="1:8">
      <c r="A224" s="7">
        <v>45426</v>
      </c>
      <c r="B224" s="3">
        <v>22112.9</v>
      </c>
      <c r="C224" s="3">
        <v>22270.05</v>
      </c>
      <c r="D224" s="3">
        <v>22081.25</v>
      </c>
      <c r="E224" s="3">
        <v>22104.05</v>
      </c>
      <c r="F224" s="3">
        <v>22217.85</v>
      </c>
      <c r="H224" s="10">
        <f t="shared" si="3"/>
        <v>5.1483777859713167E-3</v>
      </c>
    </row>
    <row r="225" spans="1:8">
      <c r="A225" s="7">
        <v>45425</v>
      </c>
      <c r="B225" s="3">
        <v>22027.95</v>
      </c>
      <c r="C225" s="3">
        <v>22131.65</v>
      </c>
      <c r="D225" s="3">
        <v>21821.05</v>
      </c>
      <c r="E225" s="3">
        <v>22055.200000000001</v>
      </c>
      <c r="F225" s="3">
        <v>22104.05</v>
      </c>
      <c r="H225" s="10">
        <f t="shared" si="3"/>
        <v>2.2148971671079177E-3</v>
      </c>
    </row>
    <row r="226" spans="1:8">
      <c r="A226" s="7">
        <v>45422</v>
      </c>
      <c r="B226" s="3">
        <v>21990.95</v>
      </c>
      <c r="C226" s="3">
        <v>22131.3</v>
      </c>
      <c r="D226" s="3">
        <v>21950.3</v>
      </c>
      <c r="E226" s="3">
        <v>21957.5</v>
      </c>
      <c r="F226" s="3">
        <v>22055.200000000001</v>
      </c>
      <c r="H226" s="10">
        <f t="shared" si="3"/>
        <v>4.4495047250370364E-3</v>
      </c>
    </row>
    <row r="227" spans="1:8">
      <c r="A227" s="7">
        <v>45421</v>
      </c>
      <c r="B227" s="3">
        <v>22224.799999999999</v>
      </c>
      <c r="C227" s="3">
        <v>22307.75</v>
      </c>
      <c r="D227" s="3">
        <v>21932.400000000001</v>
      </c>
      <c r="E227" s="3">
        <v>22302.5</v>
      </c>
      <c r="F227" s="3">
        <v>21957.5</v>
      </c>
      <c r="H227" s="10">
        <f t="shared" si="3"/>
        <v>-1.5469117811904494E-2</v>
      </c>
    </row>
    <row r="228" spans="1:8">
      <c r="A228" s="7">
        <v>45420</v>
      </c>
      <c r="B228" s="3">
        <v>22231.200000000001</v>
      </c>
      <c r="C228" s="3">
        <v>22368.65</v>
      </c>
      <c r="D228" s="3">
        <v>22185.200000000001</v>
      </c>
      <c r="E228" s="3">
        <v>22302.5</v>
      </c>
      <c r="F228" s="3">
        <v>22302.5</v>
      </c>
      <c r="H228" s="10">
        <f t="shared" si="3"/>
        <v>0</v>
      </c>
    </row>
    <row r="229" spans="1:8">
      <c r="A229" s="7">
        <v>45419</v>
      </c>
      <c r="B229" s="3">
        <v>22489.75</v>
      </c>
      <c r="C229" s="3">
        <v>22499.05</v>
      </c>
      <c r="D229" s="3">
        <v>22232.05</v>
      </c>
      <c r="E229" s="3">
        <v>22442.7</v>
      </c>
      <c r="F229" s="3">
        <v>22302.5</v>
      </c>
      <c r="H229" s="10">
        <f t="shared" si="3"/>
        <v>-6.2470201891929545E-3</v>
      </c>
    </row>
    <row r="230" spans="1:8">
      <c r="A230" s="7">
        <v>45418</v>
      </c>
      <c r="B230" s="3">
        <v>22561.599999999999</v>
      </c>
      <c r="C230" s="3">
        <v>22588.799999999999</v>
      </c>
      <c r="D230" s="3">
        <v>22409.45</v>
      </c>
      <c r="E230" s="3">
        <v>22475.85</v>
      </c>
      <c r="F230" s="3">
        <v>22442.7</v>
      </c>
      <c r="H230" s="10">
        <f t="shared" si="3"/>
        <v>-1.4749164102802706E-3</v>
      </c>
    </row>
    <row r="231" spans="1:8">
      <c r="A231" s="7">
        <v>45415</v>
      </c>
      <c r="B231" s="3">
        <v>22766.35</v>
      </c>
      <c r="C231" s="3">
        <v>22794.7</v>
      </c>
      <c r="D231" s="3">
        <v>22348.05</v>
      </c>
      <c r="E231" s="3">
        <v>22648.2</v>
      </c>
      <c r="F231" s="3">
        <v>22475.85</v>
      </c>
      <c r="H231" s="10">
        <f t="shared" si="3"/>
        <v>-7.6098762815588958E-3</v>
      </c>
    </row>
    <row r="232" spans="1:8">
      <c r="A232" s="7">
        <v>45414</v>
      </c>
      <c r="B232" s="3">
        <v>22567.85</v>
      </c>
      <c r="C232" s="3">
        <v>22710.5</v>
      </c>
      <c r="D232" s="3">
        <v>22567.85</v>
      </c>
      <c r="E232" s="3">
        <v>22604.85</v>
      </c>
      <c r="F232" s="3">
        <v>22648.2</v>
      </c>
      <c r="H232" s="10">
        <f t="shared" si="3"/>
        <v>1.9177300446586545E-3</v>
      </c>
    </row>
    <row r="233" spans="1:8">
      <c r="A233" s="7">
        <v>45412</v>
      </c>
      <c r="B233" s="3">
        <v>22679.65</v>
      </c>
      <c r="C233" s="3">
        <v>22783.35</v>
      </c>
      <c r="D233" s="3">
        <v>22568.400000000001</v>
      </c>
      <c r="E233" s="3">
        <v>22643.4</v>
      </c>
      <c r="F233" s="3">
        <v>22604.85</v>
      </c>
      <c r="H233" s="10">
        <f t="shared" si="3"/>
        <v>-1.7024828426827645E-3</v>
      </c>
    </row>
    <row r="234" spans="1:8">
      <c r="A234" s="7">
        <v>45411</v>
      </c>
      <c r="B234" s="3">
        <v>22475.55</v>
      </c>
      <c r="C234" s="3">
        <v>22655.8</v>
      </c>
      <c r="D234" s="3">
        <v>22441.9</v>
      </c>
      <c r="E234" s="3">
        <v>22419.95</v>
      </c>
      <c r="F234" s="3">
        <v>22643.4</v>
      </c>
      <c r="H234" s="10">
        <f t="shared" si="3"/>
        <v>9.9665699522077759E-3</v>
      </c>
    </row>
    <row r="235" spans="1:8">
      <c r="A235" s="7">
        <v>45408</v>
      </c>
      <c r="B235" s="3">
        <v>22620.400000000001</v>
      </c>
      <c r="C235" s="3">
        <v>22620.400000000001</v>
      </c>
      <c r="D235" s="3">
        <v>22385.55</v>
      </c>
      <c r="E235" s="3">
        <v>22570.35</v>
      </c>
      <c r="F235" s="3">
        <v>22419.95</v>
      </c>
      <c r="H235" s="10">
        <f t="shared" si="3"/>
        <v>-6.663609558557923E-3</v>
      </c>
    </row>
    <row r="236" spans="1:8">
      <c r="A236" s="7">
        <v>45407</v>
      </c>
      <c r="B236" s="3">
        <v>22316.9</v>
      </c>
      <c r="C236" s="3">
        <v>22625.95</v>
      </c>
      <c r="D236" s="3">
        <v>22305.25</v>
      </c>
      <c r="E236" s="3">
        <v>22402.400000000001</v>
      </c>
      <c r="F236" s="3">
        <v>22570.35</v>
      </c>
      <c r="H236" s="10">
        <f t="shared" si="3"/>
        <v>7.4969646109344125E-3</v>
      </c>
    </row>
    <row r="237" spans="1:8">
      <c r="A237" s="7">
        <v>45406</v>
      </c>
      <c r="B237" s="3">
        <v>22421.55</v>
      </c>
      <c r="C237" s="3">
        <v>22476.45</v>
      </c>
      <c r="D237" s="3">
        <v>22384</v>
      </c>
      <c r="E237" s="3">
        <v>22368</v>
      </c>
      <c r="F237" s="3">
        <v>22402.400000000001</v>
      </c>
      <c r="H237" s="10">
        <f t="shared" si="3"/>
        <v>1.5379113018598647E-3</v>
      </c>
    </row>
    <row r="238" spans="1:8">
      <c r="A238" s="7">
        <v>45405</v>
      </c>
      <c r="B238" s="3">
        <v>22447.05</v>
      </c>
      <c r="C238" s="3">
        <v>22447.55</v>
      </c>
      <c r="D238" s="3">
        <v>22349.45</v>
      </c>
      <c r="E238" s="3">
        <v>22336.400000000001</v>
      </c>
      <c r="F238" s="3">
        <v>22368</v>
      </c>
      <c r="H238" s="10">
        <f t="shared" si="3"/>
        <v>1.4147311115487967E-3</v>
      </c>
    </row>
    <row r="239" spans="1:8">
      <c r="A239" s="7">
        <v>45404</v>
      </c>
      <c r="B239" s="3">
        <v>22336.9</v>
      </c>
      <c r="C239" s="3">
        <v>22375.65</v>
      </c>
      <c r="D239" s="3">
        <v>22198.15</v>
      </c>
      <c r="E239" s="3">
        <v>22147</v>
      </c>
      <c r="F239" s="3">
        <v>22336.400000000001</v>
      </c>
      <c r="H239" s="10">
        <f t="shared" si="3"/>
        <v>8.5519483451483927E-3</v>
      </c>
    </row>
    <row r="240" spans="1:8">
      <c r="A240" s="7">
        <v>45401</v>
      </c>
      <c r="B240" s="3">
        <v>21861.5</v>
      </c>
      <c r="C240" s="3">
        <v>22179.55</v>
      </c>
      <c r="D240" s="3">
        <v>21777.65</v>
      </c>
      <c r="E240" s="3">
        <v>21995.85</v>
      </c>
      <c r="F240" s="3">
        <v>22147</v>
      </c>
      <c r="H240" s="10">
        <f t="shared" si="3"/>
        <v>6.8717508075387618E-3</v>
      </c>
    </row>
    <row r="241" spans="1:8">
      <c r="A241" s="7">
        <v>45400</v>
      </c>
      <c r="B241" s="3">
        <v>22212.35</v>
      </c>
      <c r="C241" s="3">
        <v>22326.5</v>
      </c>
      <c r="D241" s="3">
        <v>21961.7</v>
      </c>
      <c r="E241" s="3">
        <v>22147.9</v>
      </c>
      <c r="F241" s="3">
        <v>21995.85</v>
      </c>
      <c r="H241" s="10">
        <f t="shared" si="3"/>
        <v>-6.865210697176838E-3</v>
      </c>
    </row>
    <row r="242" spans="1:8">
      <c r="A242" s="7">
        <v>45398</v>
      </c>
      <c r="B242" s="3">
        <v>22125.3</v>
      </c>
      <c r="C242" s="3">
        <v>22213.75</v>
      </c>
      <c r="D242" s="3">
        <v>22079.45</v>
      </c>
      <c r="E242" s="3">
        <v>22272.5</v>
      </c>
      <c r="F242" s="3">
        <v>22147.9</v>
      </c>
      <c r="H242" s="10">
        <f t="shared" si="3"/>
        <v>-5.594342799416255E-3</v>
      </c>
    </row>
    <row r="243" spans="1:8">
      <c r="A243" s="7">
        <v>45397</v>
      </c>
      <c r="B243" s="3">
        <v>22339.05</v>
      </c>
      <c r="C243" s="3">
        <v>22427.45</v>
      </c>
      <c r="D243" s="3">
        <v>22259.55</v>
      </c>
      <c r="E243" s="3">
        <v>22519.4</v>
      </c>
      <c r="F243" s="3">
        <v>22272.5</v>
      </c>
      <c r="H243" s="10">
        <f t="shared" si="3"/>
        <v>-1.0963880032327745E-2</v>
      </c>
    </row>
    <row r="244" spans="1:8">
      <c r="A244" s="7">
        <v>45394</v>
      </c>
      <c r="B244" s="3">
        <v>22677.4</v>
      </c>
      <c r="C244" s="3">
        <v>22726.45</v>
      </c>
      <c r="D244" s="3">
        <v>22503.75</v>
      </c>
      <c r="E244" s="3">
        <v>22753.8</v>
      </c>
      <c r="F244" s="3">
        <v>22519.4</v>
      </c>
      <c r="H244" s="10">
        <f t="shared" si="3"/>
        <v>-1.030157600049213E-2</v>
      </c>
    </row>
    <row r="245" spans="1:8">
      <c r="A245" s="7">
        <v>45392</v>
      </c>
      <c r="B245" s="3">
        <v>22720.25</v>
      </c>
      <c r="C245" s="3">
        <v>22775.7</v>
      </c>
      <c r="D245" s="3">
        <v>22673.7</v>
      </c>
      <c r="E245" s="3">
        <v>22642.75</v>
      </c>
      <c r="F245" s="3">
        <v>22753.8</v>
      </c>
      <c r="H245" s="10">
        <f t="shared" si="3"/>
        <v>4.9044396109129531E-3</v>
      </c>
    </row>
    <row r="246" spans="1:8">
      <c r="A246" s="7">
        <v>45391</v>
      </c>
      <c r="B246" s="3">
        <v>22765.1</v>
      </c>
      <c r="C246" s="3">
        <v>22768.400000000001</v>
      </c>
      <c r="D246" s="3">
        <v>22612.25</v>
      </c>
      <c r="E246" s="3">
        <v>22666.3</v>
      </c>
      <c r="F246" s="3">
        <v>22642.75</v>
      </c>
      <c r="H246" s="10">
        <f t="shared" si="3"/>
        <v>-1.0389873953843051E-3</v>
      </c>
    </row>
    <row r="247" spans="1:8">
      <c r="A247" s="7">
        <v>45390</v>
      </c>
      <c r="B247" s="3">
        <v>22578.35</v>
      </c>
      <c r="C247" s="3">
        <v>22697.3</v>
      </c>
      <c r="D247" s="3">
        <v>22550.35</v>
      </c>
      <c r="E247" s="3">
        <v>22513.7</v>
      </c>
      <c r="F247" s="3">
        <v>22666.3</v>
      </c>
      <c r="H247" s="10">
        <f t="shared" si="3"/>
        <v>6.7780951154185467E-3</v>
      </c>
    </row>
    <row r="248" spans="1:8">
      <c r="A248" s="7">
        <v>45387</v>
      </c>
      <c r="B248" s="3">
        <v>22486.400000000001</v>
      </c>
      <c r="C248" s="3">
        <v>22537.599999999999</v>
      </c>
      <c r="D248" s="3">
        <v>22427.599999999999</v>
      </c>
      <c r="E248" s="3">
        <v>22514.65</v>
      </c>
      <c r="F248" s="3">
        <v>22513.7</v>
      </c>
      <c r="H248" s="10">
        <f t="shared" si="3"/>
        <v>-4.2194748752511256E-5</v>
      </c>
    </row>
    <row r="249" spans="1:8">
      <c r="A249" s="7">
        <v>45386</v>
      </c>
      <c r="B249" s="3">
        <v>22592.1</v>
      </c>
      <c r="C249" s="3">
        <v>22619</v>
      </c>
      <c r="D249" s="3">
        <v>22303.8</v>
      </c>
      <c r="E249" s="3">
        <v>22434.65</v>
      </c>
      <c r="F249" s="3">
        <v>22514.65</v>
      </c>
      <c r="H249" s="10">
        <f t="shared" si="3"/>
        <v>3.5659125504520907E-3</v>
      </c>
    </row>
    <row r="250" spans="1:8">
      <c r="A250" s="7">
        <v>45385</v>
      </c>
      <c r="B250" s="3">
        <v>22385.7</v>
      </c>
      <c r="C250" s="3">
        <v>22521.1</v>
      </c>
      <c r="D250" s="3">
        <v>22346.5</v>
      </c>
      <c r="E250" s="3">
        <v>22453.3</v>
      </c>
      <c r="F250" s="3">
        <v>22434.65</v>
      </c>
      <c r="H250" s="10">
        <f t="shared" si="3"/>
        <v>-8.3061287204989106E-4</v>
      </c>
    </row>
    <row r="251" spans="1:8">
      <c r="A251" s="7">
        <v>45384</v>
      </c>
      <c r="B251" s="3">
        <v>22458.799999999999</v>
      </c>
      <c r="C251" s="3">
        <v>22497.599999999999</v>
      </c>
      <c r="D251" s="3">
        <v>22388.15</v>
      </c>
      <c r="E251" s="3">
        <v>22462</v>
      </c>
      <c r="F251" s="3">
        <v>22453.3</v>
      </c>
      <c r="H251" s="10">
        <f t="shared" si="3"/>
        <v>-3.8732080847657055E-4</v>
      </c>
    </row>
    <row r="252" spans="1:8">
      <c r="A252" s="7">
        <v>45383</v>
      </c>
      <c r="B252" s="3">
        <v>22455</v>
      </c>
      <c r="C252" s="3">
        <v>22529.95</v>
      </c>
      <c r="D252" s="3">
        <v>22427.75</v>
      </c>
      <c r="E252" s="3">
        <v>22326.9</v>
      </c>
      <c r="F252" s="3">
        <v>22462</v>
      </c>
      <c r="H252" s="10">
        <f t="shared" si="3"/>
        <v>6.0509967796693017E-3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2"/>
  <sheetViews>
    <sheetView workbookViewId="0">
      <selection activeCell="K20" sqref="K20"/>
    </sheetView>
  </sheetViews>
  <sheetFormatPr defaultRowHeight="14.4"/>
  <cols>
    <col min="1" max="1" width="13.5546875" bestFit="1" customWidth="1"/>
    <col min="2" max="2" width="16" customWidth="1"/>
    <col min="5" max="5" width="10.88671875" customWidth="1"/>
    <col min="8" max="8" width="12" bestFit="1" customWidth="1"/>
    <col min="11" max="11" width="18.44140625" bestFit="1" customWidth="1"/>
    <col min="12" max="12" width="13.33203125" customWidth="1"/>
  </cols>
  <sheetData>
    <row r="1" spans="1:12" ht="29.25" customHeight="1">
      <c r="A1" t="s">
        <v>11</v>
      </c>
      <c r="B1" s="6" t="s">
        <v>12</v>
      </c>
    </row>
    <row r="3" spans="1:1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6</v>
      </c>
      <c r="H3" s="1" t="s">
        <v>7</v>
      </c>
    </row>
    <row r="4" spans="1:12">
      <c r="A4" s="2">
        <v>45744</v>
      </c>
      <c r="B4" s="4">
        <v>1054.05</v>
      </c>
      <c r="C4" s="4">
        <v>1169.6500000000001</v>
      </c>
      <c r="D4" s="4">
        <v>1054.05</v>
      </c>
      <c r="E4" s="4">
        <v>1144.55</v>
      </c>
      <c r="F4" s="4">
        <v>1159.25</v>
      </c>
      <c r="H4" s="10">
        <f>(F4-E4)/E4</f>
        <v>1.2843475601764926E-2</v>
      </c>
    </row>
    <row r="5" spans="1:12">
      <c r="A5" s="2">
        <v>45743</v>
      </c>
      <c r="B5" s="4">
        <v>1133.95</v>
      </c>
      <c r="C5" s="4">
        <v>1150</v>
      </c>
      <c r="D5" s="4">
        <v>1115.55</v>
      </c>
      <c r="E5" s="4">
        <v>1130.3</v>
      </c>
      <c r="F5" s="4">
        <v>1144.55</v>
      </c>
      <c r="H5" s="10">
        <f t="shared" ref="H5:H68" si="0">(F5-E5)/E5</f>
        <v>1.2607272405556048E-2</v>
      </c>
    </row>
    <row r="6" spans="1:12">
      <c r="A6" s="2">
        <v>45742</v>
      </c>
      <c r="B6" s="4">
        <v>1129.95</v>
      </c>
      <c r="C6" s="4">
        <v>1138.8499999999999</v>
      </c>
      <c r="D6" s="4">
        <v>1103.25</v>
      </c>
      <c r="E6" s="4">
        <v>1129.8499999999999</v>
      </c>
      <c r="F6" s="4">
        <v>1130.3</v>
      </c>
      <c r="H6" s="10">
        <f t="shared" si="0"/>
        <v>3.9828295791480772E-4</v>
      </c>
      <c r="K6" t="s">
        <v>8</v>
      </c>
      <c r="L6">
        <f>AVERAGE(H4:H252)</f>
        <v>-1.4977887254596337E-4</v>
      </c>
    </row>
    <row r="7" spans="1:12">
      <c r="A7" s="2">
        <v>45741</v>
      </c>
      <c r="B7" s="4">
        <v>1111.8499999999999</v>
      </c>
      <c r="C7" s="4">
        <v>1134.9000000000001</v>
      </c>
      <c r="D7" s="4">
        <v>1097.5999999999999</v>
      </c>
      <c r="E7" s="4">
        <v>1106.3</v>
      </c>
      <c r="F7" s="4">
        <v>1129.8499999999999</v>
      </c>
      <c r="H7" s="10">
        <f t="shared" si="0"/>
        <v>2.1287173461086464E-2</v>
      </c>
      <c r="K7" t="s">
        <v>9</v>
      </c>
      <c r="L7">
        <f>_xlfn.VAR.S(H4:H252)</f>
        <v>3.187074610701372E-4</v>
      </c>
    </row>
    <row r="8" spans="1:12">
      <c r="A8" s="2">
        <v>45740</v>
      </c>
      <c r="B8" s="4">
        <v>1116</v>
      </c>
      <c r="C8" s="4">
        <v>1120.0999999999999</v>
      </c>
      <c r="D8" s="4">
        <v>1098.5</v>
      </c>
      <c r="E8" s="4">
        <v>1111.95</v>
      </c>
      <c r="F8" s="4">
        <v>1106.3</v>
      </c>
      <c r="H8" s="10">
        <f t="shared" si="0"/>
        <v>-5.0811637213904323E-3</v>
      </c>
      <c r="K8" t="s">
        <v>10</v>
      </c>
      <c r="L8">
        <f>_xlfn.STDEV.S(H4:H252)</f>
        <v>1.7852379703281497E-2</v>
      </c>
    </row>
    <row r="9" spans="1:12">
      <c r="A9" s="2">
        <v>45737</v>
      </c>
      <c r="B9" s="4">
        <v>1105.5</v>
      </c>
      <c r="C9" s="4">
        <v>1120.55</v>
      </c>
      <c r="D9" s="4">
        <v>1094</v>
      </c>
      <c r="E9" s="4">
        <v>1101.5</v>
      </c>
      <c r="F9" s="4">
        <v>1111.95</v>
      </c>
      <c r="H9" s="10">
        <f t="shared" si="0"/>
        <v>9.4870630957785244E-3</v>
      </c>
    </row>
    <row r="10" spans="1:12">
      <c r="A10" s="2">
        <v>45736</v>
      </c>
      <c r="B10" s="4">
        <v>1074.95</v>
      </c>
      <c r="C10" s="4">
        <v>1104.7</v>
      </c>
      <c r="D10" s="4">
        <v>1074.95</v>
      </c>
      <c r="E10" s="4">
        <v>1074.3</v>
      </c>
      <c r="F10" s="4">
        <v>1101.5</v>
      </c>
      <c r="H10" s="10">
        <f t="shared" si="0"/>
        <v>2.5318812249837147E-2</v>
      </c>
    </row>
    <row r="11" spans="1:12">
      <c r="A11" s="2">
        <v>45735</v>
      </c>
      <c r="B11" s="4">
        <v>1085.0999999999999</v>
      </c>
      <c r="C11" s="4">
        <v>1087</v>
      </c>
      <c r="D11" s="4">
        <v>1064.3499999999999</v>
      </c>
      <c r="E11" s="4">
        <v>1083.6500000000001</v>
      </c>
      <c r="F11" s="4">
        <v>1074.3</v>
      </c>
      <c r="H11" s="10">
        <f t="shared" si="0"/>
        <v>-8.6282471277627799E-3</v>
      </c>
    </row>
    <row r="12" spans="1:12">
      <c r="A12" s="2">
        <v>45734</v>
      </c>
      <c r="B12" s="4">
        <v>1064.55</v>
      </c>
      <c r="C12" s="4">
        <v>1090.75</v>
      </c>
      <c r="D12" s="4">
        <v>1064.55</v>
      </c>
      <c r="E12" s="4">
        <v>1052.3</v>
      </c>
      <c r="F12" s="4">
        <v>1083.6500000000001</v>
      </c>
      <c r="H12" s="10">
        <f t="shared" si="0"/>
        <v>2.9791884443599866E-2</v>
      </c>
    </row>
    <row r="13" spans="1:12">
      <c r="A13" s="2">
        <v>45733</v>
      </c>
      <c r="B13" s="4">
        <v>1025.0999999999999</v>
      </c>
      <c r="C13" s="4">
        <v>1061.4000000000001</v>
      </c>
      <c r="D13" s="4">
        <v>1024.6500000000001</v>
      </c>
      <c r="E13" s="4">
        <v>1025.8</v>
      </c>
      <c r="F13" s="4">
        <v>1052.3</v>
      </c>
      <c r="H13" s="10">
        <f t="shared" si="0"/>
        <v>2.583349580814974E-2</v>
      </c>
    </row>
    <row r="14" spans="1:12">
      <c r="A14" s="2">
        <v>45729</v>
      </c>
      <c r="B14" s="4">
        <v>1045</v>
      </c>
      <c r="C14" s="4">
        <v>1045</v>
      </c>
      <c r="D14" s="4">
        <v>1020.35</v>
      </c>
      <c r="E14" s="4">
        <v>1043.4000000000001</v>
      </c>
      <c r="F14" s="4">
        <v>1025.8</v>
      </c>
      <c r="H14" s="10">
        <f t="shared" si="0"/>
        <v>-1.6867931761548913E-2</v>
      </c>
    </row>
    <row r="15" spans="1:12">
      <c r="A15" s="2">
        <v>45728</v>
      </c>
      <c r="B15" s="4">
        <v>1039.25</v>
      </c>
      <c r="C15" s="4">
        <v>1046.9000000000001</v>
      </c>
      <c r="D15" s="4">
        <v>1028.8499999999999</v>
      </c>
      <c r="E15" s="4">
        <v>1039.1500000000001</v>
      </c>
      <c r="F15" s="4">
        <v>1043.4000000000001</v>
      </c>
      <c r="H15" s="10">
        <f t="shared" si="0"/>
        <v>4.089881152865322E-3</v>
      </c>
    </row>
    <row r="16" spans="1:12">
      <c r="A16" s="2">
        <v>45727</v>
      </c>
      <c r="B16" s="4">
        <v>1025</v>
      </c>
      <c r="C16" s="4">
        <v>1050</v>
      </c>
      <c r="D16" s="4">
        <v>1025</v>
      </c>
      <c r="E16" s="4">
        <v>1044</v>
      </c>
      <c r="F16" s="4">
        <v>1039.1500000000001</v>
      </c>
      <c r="H16" s="10">
        <f t="shared" si="0"/>
        <v>-4.6455938697317137E-3</v>
      </c>
    </row>
    <row r="17" spans="1:8">
      <c r="A17" s="2">
        <v>45726</v>
      </c>
      <c r="B17" s="4">
        <v>1042</v>
      </c>
      <c r="C17" s="4">
        <v>1063.2</v>
      </c>
      <c r="D17" s="4">
        <v>1036.9000000000001</v>
      </c>
      <c r="E17" s="4">
        <v>1045.3</v>
      </c>
      <c r="F17" s="4">
        <v>1044</v>
      </c>
      <c r="H17" s="10">
        <f t="shared" si="0"/>
        <v>-1.2436621065722324E-3</v>
      </c>
    </row>
    <row r="18" spans="1:8">
      <c r="A18" s="2">
        <v>45723</v>
      </c>
      <c r="B18" s="4">
        <v>1020.1</v>
      </c>
      <c r="C18" s="4">
        <v>1053.4000000000001</v>
      </c>
      <c r="D18" s="4">
        <v>1017.2</v>
      </c>
      <c r="E18" s="4">
        <v>1030.3</v>
      </c>
      <c r="F18" s="4">
        <v>1045.3</v>
      </c>
      <c r="H18" s="10">
        <f t="shared" si="0"/>
        <v>1.4558866349606911E-2</v>
      </c>
    </row>
    <row r="19" spans="1:8">
      <c r="A19" s="2">
        <v>45722</v>
      </c>
      <c r="B19" s="3">
        <v>998</v>
      </c>
      <c r="C19" s="4">
        <v>1037.75</v>
      </c>
      <c r="D19" s="3">
        <v>998</v>
      </c>
      <c r="E19" s="3">
        <v>991.35</v>
      </c>
      <c r="F19" s="4">
        <v>1030.3</v>
      </c>
      <c r="H19" s="10">
        <f t="shared" si="0"/>
        <v>3.9289857265345167E-2</v>
      </c>
    </row>
    <row r="20" spans="1:8">
      <c r="A20" s="2">
        <v>45721</v>
      </c>
      <c r="B20" s="3">
        <v>990.25</v>
      </c>
      <c r="C20" s="4">
        <v>1005.9</v>
      </c>
      <c r="D20" s="3">
        <v>986.65</v>
      </c>
      <c r="E20" s="3">
        <v>990.25</v>
      </c>
      <c r="F20" s="3">
        <v>991.35</v>
      </c>
      <c r="H20" s="10">
        <f t="shared" si="0"/>
        <v>1.110830598333777E-3</v>
      </c>
    </row>
    <row r="21" spans="1:8">
      <c r="A21" s="2">
        <v>45720</v>
      </c>
      <c r="B21" s="3">
        <v>990</v>
      </c>
      <c r="C21" s="3">
        <v>997.1</v>
      </c>
      <c r="D21" s="3">
        <v>979.5</v>
      </c>
      <c r="E21" s="3">
        <v>998.35</v>
      </c>
      <c r="F21" s="3">
        <v>990.25</v>
      </c>
      <c r="H21" s="10">
        <f t="shared" si="0"/>
        <v>-8.1133870886963711E-3</v>
      </c>
    </row>
    <row r="22" spans="1:8">
      <c r="A22" s="2">
        <v>45719</v>
      </c>
      <c r="B22" s="4">
        <v>1006</v>
      </c>
      <c r="C22" s="4">
        <v>1014.75</v>
      </c>
      <c r="D22" s="3">
        <v>990</v>
      </c>
      <c r="E22" s="4">
        <v>1005.15</v>
      </c>
      <c r="F22" s="3">
        <v>998.35</v>
      </c>
      <c r="H22" s="10">
        <f t="shared" si="0"/>
        <v>-6.7651594289409086E-3</v>
      </c>
    </row>
    <row r="23" spans="1:8">
      <c r="A23" s="2">
        <v>45716</v>
      </c>
      <c r="B23" s="4">
        <v>1040.05</v>
      </c>
      <c r="C23" s="4">
        <v>1055</v>
      </c>
      <c r="D23" s="3">
        <v>999.35</v>
      </c>
      <c r="E23" s="4">
        <v>1051.4000000000001</v>
      </c>
      <c r="F23" s="4">
        <v>1005.15</v>
      </c>
      <c r="H23" s="10">
        <f t="shared" si="0"/>
        <v>-4.3988967091497154E-2</v>
      </c>
    </row>
    <row r="24" spans="1:8">
      <c r="A24" s="2">
        <v>45715</v>
      </c>
      <c r="B24" s="4">
        <v>1057.0999999999999</v>
      </c>
      <c r="C24" s="4">
        <v>1067.7</v>
      </c>
      <c r="D24" s="4">
        <v>1040.5</v>
      </c>
      <c r="E24" s="4">
        <v>1057.0999999999999</v>
      </c>
      <c r="F24" s="4">
        <v>1051.4000000000001</v>
      </c>
      <c r="H24" s="10">
        <f t="shared" si="0"/>
        <v>-5.3921104909656781E-3</v>
      </c>
    </row>
    <row r="25" spans="1:8">
      <c r="A25" s="2">
        <v>45713</v>
      </c>
      <c r="B25" s="4">
        <v>1047.75</v>
      </c>
      <c r="C25" s="4">
        <v>1064.4000000000001</v>
      </c>
      <c r="D25" s="4">
        <v>1041.3499999999999</v>
      </c>
      <c r="E25" s="4">
        <v>1044.5999999999999</v>
      </c>
      <c r="F25" s="4">
        <v>1057.0999999999999</v>
      </c>
      <c r="H25" s="10">
        <f t="shared" si="0"/>
        <v>1.1966302891058779E-2</v>
      </c>
    </row>
    <row r="26" spans="1:8">
      <c r="A26" s="2">
        <v>45712</v>
      </c>
      <c r="B26" s="4">
        <v>1048.1500000000001</v>
      </c>
      <c r="C26" s="4">
        <v>1051.8</v>
      </c>
      <c r="D26" s="4">
        <v>1035.25</v>
      </c>
      <c r="E26" s="4">
        <v>1052.2</v>
      </c>
      <c r="F26" s="4">
        <v>1044.5999999999999</v>
      </c>
      <c r="H26" s="10">
        <f t="shared" si="0"/>
        <v>-7.2229614141799429E-3</v>
      </c>
    </row>
    <row r="27" spans="1:8">
      <c r="A27" s="2">
        <v>45709</v>
      </c>
      <c r="B27" s="4">
        <v>1075</v>
      </c>
      <c r="C27" s="4">
        <v>1079.9000000000001</v>
      </c>
      <c r="D27" s="4">
        <v>1047.3499999999999</v>
      </c>
      <c r="E27" s="4">
        <v>1074.5999999999999</v>
      </c>
      <c r="F27" s="4">
        <v>1052.2</v>
      </c>
      <c r="H27" s="10">
        <f t="shared" si="0"/>
        <v>-2.0844965568583534E-2</v>
      </c>
    </row>
    <row r="28" spans="1:8">
      <c r="A28" s="2">
        <v>45708</v>
      </c>
      <c r="B28" s="4">
        <v>1020</v>
      </c>
      <c r="C28" s="4">
        <v>1080.8499999999999</v>
      </c>
      <c r="D28" s="4">
        <v>1019.05</v>
      </c>
      <c r="E28" s="4">
        <v>1024.5</v>
      </c>
      <c r="F28" s="4">
        <v>1074.5999999999999</v>
      </c>
      <c r="H28" s="10">
        <f t="shared" si="0"/>
        <v>4.8901903367496252E-2</v>
      </c>
    </row>
    <row r="29" spans="1:8">
      <c r="A29" s="2">
        <v>45707</v>
      </c>
      <c r="B29" s="4">
        <v>1015.55</v>
      </c>
      <c r="C29" s="4">
        <v>1026.9000000000001</v>
      </c>
      <c r="D29" s="3">
        <v>997.2</v>
      </c>
      <c r="E29" s="4">
        <v>1015.55</v>
      </c>
      <c r="F29" s="4">
        <v>1024.5</v>
      </c>
      <c r="H29" s="10">
        <f t="shared" si="0"/>
        <v>8.8129584953966274E-3</v>
      </c>
    </row>
    <row r="30" spans="1:8">
      <c r="A30" s="2">
        <v>45706</v>
      </c>
      <c r="B30" s="4">
        <v>1039.9000000000001</v>
      </c>
      <c r="C30" s="4">
        <v>1044.45</v>
      </c>
      <c r="D30" s="4">
        <v>1006</v>
      </c>
      <c r="E30" s="4">
        <v>1039.25</v>
      </c>
      <c r="F30" s="4">
        <v>1015.55</v>
      </c>
      <c r="H30" s="10">
        <f t="shared" si="0"/>
        <v>-2.2804907385133553E-2</v>
      </c>
    </row>
    <row r="31" spans="1:8">
      <c r="A31" s="2">
        <v>45705</v>
      </c>
      <c r="B31" s="4">
        <v>1058.8</v>
      </c>
      <c r="C31" s="4">
        <v>1058.8</v>
      </c>
      <c r="D31" s="4">
        <v>1033.5999999999999</v>
      </c>
      <c r="E31" s="4">
        <v>1058.9000000000001</v>
      </c>
      <c r="F31" s="4">
        <v>1039.25</v>
      </c>
      <c r="H31" s="10">
        <f t="shared" si="0"/>
        <v>-1.8556993106053535E-2</v>
      </c>
    </row>
    <row r="32" spans="1:8">
      <c r="A32" s="2">
        <v>45702</v>
      </c>
      <c r="B32" s="4">
        <v>1058.05</v>
      </c>
      <c r="C32" s="4">
        <v>1074</v>
      </c>
      <c r="D32" s="4">
        <v>1047.5</v>
      </c>
      <c r="E32" s="4">
        <v>1052.8</v>
      </c>
      <c r="F32" s="4">
        <v>1058.9000000000001</v>
      </c>
      <c r="H32" s="10">
        <f t="shared" si="0"/>
        <v>5.7940729483283975E-3</v>
      </c>
    </row>
    <row r="33" spans="1:8">
      <c r="A33" s="2">
        <v>45701</v>
      </c>
      <c r="B33" s="4">
        <v>1072.75</v>
      </c>
      <c r="C33" s="4">
        <v>1077.55</v>
      </c>
      <c r="D33" s="4">
        <v>1049</v>
      </c>
      <c r="E33" s="4">
        <v>1072.75</v>
      </c>
      <c r="F33" s="4">
        <v>1052.8</v>
      </c>
      <c r="H33" s="10">
        <f t="shared" si="0"/>
        <v>-1.8597063621533485E-2</v>
      </c>
    </row>
    <row r="34" spans="1:8">
      <c r="A34" s="2">
        <v>45700</v>
      </c>
      <c r="B34" s="4">
        <v>1071.25</v>
      </c>
      <c r="C34" s="4">
        <v>1081.5999999999999</v>
      </c>
      <c r="D34" s="4">
        <v>1053.5999999999999</v>
      </c>
      <c r="E34" s="4">
        <v>1071.25</v>
      </c>
      <c r="F34" s="4">
        <v>1072.75</v>
      </c>
      <c r="H34" s="10">
        <f t="shared" si="0"/>
        <v>1.4002333722287048E-3</v>
      </c>
    </row>
    <row r="35" spans="1:8">
      <c r="A35" s="2">
        <v>45699</v>
      </c>
      <c r="B35" s="4">
        <v>1095.05</v>
      </c>
      <c r="C35" s="4">
        <v>1106.95</v>
      </c>
      <c r="D35" s="4">
        <v>1064.25</v>
      </c>
      <c r="E35" s="4">
        <v>1091.25</v>
      </c>
      <c r="F35" s="4">
        <v>1071.25</v>
      </c>
      <c r="H35" s="10">
        <f t="shared" si="0"/>
        <v>-1.8327605956471937E-2</v>
      </c>
    </row>
    <row r="36" spans="1:8">
      <c r="A36" s="2">
        <v>45698</v>
      </c>
      <c r="B36" s="4">
        <v>1112.25</v>
      </c>
      <c r="C36" s="4">
        <v>1170</v>
      </c>
      <c r="D36" s="4">
        <v>1080</v>
      </c>
      <c r="E36" s="4">
        <v>1106.75</v>
      </c>
      <c r="F36" s="4">
        <v>1091.25</v>
      </c>
      <c r="H36" s="10">
        <f t="shared" si="0"/>
        <v>-1.4004969505308336E-2</v>
      </c>
    </row>
    <row r="37" spans="1:8">
      <c r="A37" s="2">
        <v>45695</v>
      </c>
      <c r="B37" s="4">
        <v>1120</v>
      </c>
      <c r="C37" s="4">
        <v>1122.05</v>
      </c>
      <c r="D37" s="4">
        <v>1094.55</v>
      </c>
      <c r="E37" s="4">
        <v>1119.5999999999999</v>
      </c>
      <c r="F37" s="4">
        <v>1106.75</v>
      </c>
      <c r="H37" s="10">
        <f t="shared" si="0"/>
        <v>-1.1477313326187844E-2</v>
      </c>
    </row>
    <row r="38" spans="1:8">
      <c r="A38" s="2">
        <v>45694</v>
      </c>
      <c r="B38" s="4">
        <v>1118.75</v>
      </c>
      <c r="C38" s="4">
        <v>1132.3</v>
      </c>
      <c r="D38" s="4">
        <v>1115.75</v>
      </c>
      <c r="E38" s="4">
        <v>1118.75</v>
      </c>
      <c r="F38" s="4">
        <v>1119.5999999999999</v>
      </c>
      <c r="H38" s="10">
        <f t="shared" si="0"/>
        <v>7.5977653631276783E-4</v>
      </c>
    </row>
    <row r="39" spans="1:8">
      <c r="A39" s="2">
        <v>45693</v>
      </c>
      <c r="B39" s="4">
        <v>1141.2</v>
      </c>
      <c r="C39" s="4">
        <v>1141.2</v>
      </c>
      <c r="D39" s="4">
        <v>1116</v>
      </c>
      <c r="E39" s="4">
        <v>1135.25</v>
      </c>
      <c r="F39" s="4">
        <v>1118.75</v>
      </c>
      <c r="H39" s="10">
        <f t="shared" si="0"/>
        <v>-1.4534243558687513E-2</v>
      </c>
    </row>
    <row r="40" spans="1:8">
      <c r="A40" s="2">
        <v>45692</v>
      </c>
      <c r="B40" s="4">
        <v>1161.2</v>
      </c>
      <c r="C40" s="4">
        <v>1161.2</v>
      </c>
      <c r="D40" s="4">
        <v>1127</v>
      </c>
      <c r="E40" s="4">
        <v>1155.55</v>
      </c>
      <c r="F40" s="4">
        <v>1135.25</v>
      </c>
      <c r="H40" s="10">
        <f t="shared" si="0"/>
        <v>-1.7567392150923764E-2</v>
      </c>
    </row>
    <row r="41" spans="1:8">
      <c r="A41" s="2">
        <v>45691</v>
      </c>
      <c r="B41" s="4">
        <v>1175.05</v>
      </c>
      <c r="C41" s="4">
        <v>1187.9000000000001</v>
      </c>
      <c r="D41" s="4">
        <v>1139.55</v>
      </c>
      <c r="E41" s="4">
        <v>1191.7</v>
      </c>
      <c r="F41" s="4">
        <v>1155.55</v>
      </c>
      <c r="H41" s="10">
        <f t="shared" si="0"/>
        <v>-3.0334815809348065E-2</v>
      </c>
    </row>
    <row r="42" spans="1:8">
      <c r="A42" s="2">
        <v>45689</v>
      </c>
      <c r="B42" s="4">
        <v>1126.8</v>
      </c>
      <c r="C42" s="4">
        <v>1214.5</v>
      </c>
      <c r="D42" s="4">
        <v>1118.55</v>
      </c>
      <c r="E42" s="4">
        <v>1121.25</v>
      </c>
      <c r="F42" s="4">
        <v>1191.7</v>
      </c>
      <c r="H42" s="10">
        <f t="shared" si="0"/>
        <v>6.2831661092530702E-2</v>
      </c>
    </row>
    <row r="43" spans="1:8">
      <c r="A43" s="2">
        <v>45688</v>
      </c>
      <c r="B43" s="4">
        <v>1112</v>
      </c>
      <c r="C43" s="4">
        <v>1136.3</v>
      </c>
      <c r="D43" s="4">
        <v>1112</v>
      </c>
      <c r="E43" s="4">
        <v>1118.5</v>
      </c>
      <c r="F43" s="4">
        <v>1121.25</v>
      </c>
      <c r="H43" s="10">
        <f t="shared" si="0"/>
        <v>2.4586499776486368E-3</v>
      </c>
    </row>
    <row r="44" spans="1:8">
      <c r="A44" s="2">
        <v>45687</v>
      </c>
      <c r="B44" s="4">
        <v>1118.1500000000001</v>
      </c>
      <c r="C44" s="4">
        <v>1126</v>
      </c>
      <c r="D44" s="4">
        <v>1111.45</v>
      </c>
      <c r="E44" s="4">
        <v>1118.1500000000001</v>
      </c>
      <c r="F44" s="4">
        <v>1118.5</v>
      </c>
      <c r="H44" s="10">
        <f t="shared" si="0"/>
        <v>3.1301703707007917E-4</v>
      </c>
    </row>
    <row r="45" spans="1:8">
      <c r="A45" s="2">
        <v>45686</v>
      </c>
      <c r="B45" s="4">
        <v>1117.55</v>
      </c>
      <c r="C45" s="4">
        <v>1122.8499999999999</v>
      </c>
      <c r="D45" s="4">
        <v>1108.4000000000001</v>
      </c>
      <c r="E45" s="4">
        <v>1125.8499999999999</v>
      </c>
      <c r="F45" s="4">
        <v>1118.1500000000001</v>
      </c>
      <c r="H45" s="10">
        <f t="shared" si="0"/>
        <v>-6.8392769907179634E-3</v>
      </c>
    </row>
    <row r="46" spans="1:8">
      <c r="A46" s="2">
        <v>45685</v>
      </c>
      <c r="B46" s="4">
        <v>1126.6500000000001</v>
      </c>
      <c r="C46" s="4">
        <v>1137.6500000000001</v>
      </c>
      <c r="D46" s="4">
        <v>1111.05</v>
      </c>
      <c r="E46" s="4">
        <v>1126.6500000000001</v>
      </c>
      <c r="F46" s="4">
        <v>1125.8499999999999</v>
      </c>
      <c r="H46" s="10">
        <f t="shared" si="0"/>
        <v>-7.1006967558707838E-4</v>
      </c>
    </row>
    <row r="47" spans="1:8">
      <c r="A47" s="2">
        <v>45684</v>
      </c>
      <c r="B47" s="4">
        <v>1117.05</v>
      </c>
      <c r="C47" s="4">
        <v>1132.4000000000001</v>
      </c>
      <c r="D47" s="4">
        <v>1097.5</v>
      </c>
      <c r="E47" s="4">
        <v>1130.3499999999999</v>
      </c>
      <c r="F47" s="4">
        <v>1126.6500000000001</v>
      </c>
      <c r="H47" s="10">
        <f t="shared" si="0"/>
        <v>-3.2733224222584317E-3</v>
      </c>
    </row>
    <row r="48" spans="1:8">
      <c r="A48" s="2">
        <v>45681</v>
      </c>
      <c r="B48" s="4">
        <v>1145.95</v>
      </c>
      <c r="C48" s="4">
        <v>1147.95</v>
      </c>
      <c r="D48" s="4">
        <v>1125.4000000000001</v>
      </c>
      <c r="E48" s="4">
        <v>1145.2</v>
      </c>
      <c r="F48" s="4">
        <v>1130.3499999999999</v>
      </c>
      <c r="H48" s="10">
        <f t="shared" si="0"/>
        <v>-1.2967167307020726E-2</v>
      </c>
    </row>
    <row r="49" spans="1:8">
      <c r="A49" s="2">
        <v>45680</v>
      </c>
      <c r="B49" s="4">
        <v>1141.25</v>
      </c>
      <c r="C49" s="4">
        <v>1166.05</v>
      </c>
      <c r="D49" s="4">
        <v>1120.8499999999999</v>
      </c>
      <c r="E49" s="4">
        <v>1153</v>
      </c>
      <c r="F49" s="4">
        <v>1145.2</v>
      </c>
      <c r="H49" s="10">
        <f t="shared" si="0"/>
        <v>-6.7649609713789716E-3</v>
      </c>
    </row>
    <row r="50" spans="1:8">
      <c r="A50" s="2">
        <v>45679</v>
      </c>
      <c r="B50" s="4">
        <v>1163.05</v>
      </c>
      <c r="C50" s="4">
        <v>1168.5</v>
      </c>
      <c r="D50" s="4">
        <v>1137.55</v>
      </c>
      <c r="E50" s="4">
        <v>1158.95</v>
      </c>
      <c r="F50" s="4">
        <v>1153</v>
      </c>
      <c r="H50" s="10">
        <f t="shared" si="0"/>
        <v>-5.1339574614953582E-3</v>
      </c>
    </row>
    <row r="51" spans="1:8">
      <c r="A51" s="2">
        <v>45678</v>
      </c>
      <c r="B51" s="4">
        <v>1172.5</v>
      </c>
      <c r="C51" s="4">
        <v>1179.4000000000001</v>
      </c>
      <c r="D51" s="4">
        <v>1155.5</v>
      </c>
      <c r="E51" s="4">
        <v>1166.6500000000001</v>
      </c>
      <c r="F51" s="4">
        <v>1158.95</v>
      </c>
      <c r="H51" s="10">
        <f t="shared" si="0"/>
        <v>-6.6000942870612818E-3</v>
      </c>
    </row>
    <row r="52" spans="1:8">
      <c r="A52" s="2">
        <v>45677</v>
      </c>
      <c r="B52" s="4">
        <v>1192.8</v>
      </c>
      <c r="C52" s="4">
        <v>1193.95</v>
      </c>
      <c r="D52" s="4">
        <v>1160</v>
      </c>
      <c r="E52" s="4">
        <v>1187.75</v>
      </c>
      <c r="F52" s="4">
        <v>1166.6500000000001</v>
      </c>
      <c r="H52" s="10">
        <f t="shared" si="0"/>
        <v>-1.7764681119764182E-2</v>
      </c>
    </row>
    <row r="53" spans="1:8">
      <c r="A53" s="2">
        <v>45674</v>
      </c>
      <c r="B53" s="4">
        <v>1153</v>
      </c>
      <c r="C53" s="4">
        <v>1197.45</v>
      </c>
      <c r="D53" s="4">
        <v>1149</v>
      </c>
      <c r="E53" s="4">
        <v>1149.5999999999999</v>
      </c>
      <c r="F53" s="4">
        <v>1187.75</v>
      </c>
      <c r="H53" s="10">
        <f t="shared" si="0"/>
        <v>3.318545581071685E-2</v>
      </c>
    </row>
    <row r="54" spans="1:8">
      <c r="A54" s="2">
        <v>45673</v>
      </c>
      <c r="B54" s="4">
        <v>1130.0999999999999</v>
      </c>
      <c r="C54" s="4">
        <v>1153.5</v>
      </c>
      <c r="D54" s="4">
        <v>1126.45</v>
      </c>
      <c r="E54" s="4">
        <v>1128.75</v>
      </c>
      <c r="F54" s="4">
        <v>1149.5999999999999</v>
      </c>
      <c r="H54" s="10">
        <f t="shared" si="0"/>
        <v>1.8471760797342113E-2</v>
      </c>
    </row>
    <row r="55" spans="1:8">
      <c r="A55" s="2">
        <v>45672</v>
      </c>
      <c r="B55" s="4">
        <v>1140</v>
      </c>
      <c r="C55" s="4">
        <v>1142.95</v>
      </c>
      <c r="D55" s="4">
        <v>1126.1500000000001</v>
      </c>
      <c r="E55" s="4">
        <v>1140.45</v>
      </c>
      <c r="F55" s="4">
        <v>1128.75</v>
      </c>
      <c r="H55" s="10">
        <f t="shared" si="0"/>
        <v>-1.0259108246744746E-2</v>
      </c>
    </row>
    <row r="56" spans="1:8">
      <c r="A56" s="2">
        <v>45671</v>
      </c>
      <c r="B56" s="4">
        <v>1161.95</v>
      </c>
      <c r="C56" s="4">
        <v>1164.75</v>
      </c>
      <c r="D56" s="4">
        <v>1130.05</v>
      </c>
      <c r="E56" s="4">
        <v>1159</v>
      </c>
      <c r="F56" s="4">
        <v>1140.45</v>
      </c>
      <c r="H56" s="10">
        <f t="shared" si="0"/>
        <v>-1.6005176876617736E-2</v>
      </c>
    </row>
    <row r="57" spans="1:8">
      <c r="A57" s="2">
        <v>45670</v>
      </c>
      <c r="B57" s="4">
        <v>1165</v>
      </c>
      <c r="C57" s="4">
        <v>1180</v>
      </c>
      <c r="D57" s="4">
        <v>1156.25</v>
      </c>
      <c r="E57" s="4">
        <v>1174.3</v>
      </c>
      <c r="F57" s="4">
        <v>1159</v>
      </c>
      <c r="H57" s="10">
        <f t="shared" si="0"/>
        <v>-1.3029038576173001E-2</v>
      </c>
    </row>
    <row r="58" spans="1:8">
      <c r="A58" s="2">
        <v>45667</v>
      </c>
      <c r="B58" s="4">
        <v>1181.2</v>
      </c>
      <c r="C58" s="4">
        <v>1189.55</v>
      </c>
      <c r="D58" s="4">
        <v>1167.6500000000001</v>
      </c>
      <c r="E58" s="4">
        <v>1181.0999999999999</v>
      </c>
      <c r="F58" s="4">
        <v>1174.3</v>
      </c>
      <c r="H58" s="10">
        <f t="shared" si="0"/>
        <v>-5.7573448480229914E-3</v>
      </c>
    </row>
    <row r="59" spans="1:8">
      <c r="A59" s="2">
        <v>45666</v>
      </c>
      <c r="B59" s="4">
        <v>1153.0999999999999</v>
      </c>
      <c r="C59" s="4">
        <v>1198.45</v>
      </c>
      <c r="D59" s="4">
        <v>1150.4000000000001</v>
      </c>
      <c r="E59" s="4">
        <v>1156.25</v>
      </c>
      <c r="F59" s="4">
        <v>1181.0999999999999</v>
      </c>
      <c r="H59" s="10">
        <f t="shared" si="0"/>
        <v>2.1491891891891813E-2</v>
      </c>
    </row>
    <row r="60" spans="1:8">
      <c r="A60" s="2">
        <v>45665</v>
      </c>
      <c r="B60" s="4">
        <v>1153</v>
      </c>
      <c r="C60" s="4">
        <v>1159.25</v>
      </c>
      <c r="D60" s="4">
        <v>1135.6500000000001</v>
      </c>
      <c r="E60" s="4">
        <v>1153.8</v>
      </c>
      <c r="F60" s="4">
        <v>1156.25</v>
      </c>
      <c r="H60" s="10">
        <f t="shared" si="0"/>
        <v>2.1234182700641752E-3</v>
      </c>
    </row>
    <row r="61" spans="1:8">
      <c r="A61" s="2">
        <v>45664</v>
      </c>
      <c r="B61" s="4">
        <v>1136.05</v>
      </c>
      <c r="C61" s="4">
        <v>1167.45</v>
      </c>
      <c r="D61" s="4">
        <v>1135</v>
      </c>
      <c r="E61" s="4">
        <v>1141.8499999999999</v>
      </c>
      <c r="F61" s="4">
        <v>1153.8</v>
      </c>
      <c r="H61" s="10">
        <f t="shared" si="0"/>
        <v>1.046547269781499E-2</v>
      </c>
    </row>
    <row r="62" spans="1:8">
      <c r="A62" s="2">
        <v>45663</v>
      </c>
      <c r="B62" s="4">
        <v>1122.2</v>
      </c>
      <c r="C62" s="4">
        <v>1157.5999999999999</v>
      </c>
      <c r="D62" s="4">
        <v>1111.2</v>
      </c>
      <c r="E62" s="4">
        <v>1116.6500000000001</v>
      </c>
      <c r="F62" s="4">
        <v>1141.8499999999999</v>
      </c>
      <c r="H62" s="10">
        <f t="shared" si="0"/>
        <v>2.256750100747756E-2</v>
      </c>
    </row>
    <row r="63" spans="1:8">
      <c r="A63" s="2">
        <v>45660</v>
      </c>
      <c r="B63" s="4">
        <v>1100</v>
      </c>
      <c r="C63" s="4">
        <v>1122</v>
      </c>
      <c r="D63" s="4">
        <v>1090.3499999999999</v>
      </c>
      <c r="E63" s="4">
        <v>1093.45</v>
      </c>
      <c r="F63" s="4">
        <v>1116.6500000000001</v>
      </c>
      <c r="H63" s="10">
        <f t="shared" si="0"/>
        <v>2.1217248159495217E-2</v>
      </c>
    </row>
    <row r="64" spans="1:8">
      <c r="A64" s="2">
        <v>45659</v>
      </c>
      <c r="B64" s="4">
        <v>1085.6500000000001</v>
      </c>
      <c r="C64" s="4">
        <v>1095.75</v>
      </c>
      <c r="D64" s="4">
        <v>1070.55</v>
      </c>
      <c r="E64" s="4">
        <v>1079.55</v>
      </c>
      <c r="F64" s="4">
        <v>1093.45</v>
      </c>
      <c r="H64" s="10">
        <f t="shared" si="0"/>
        <v>1.2875735260062148E-2</v>
      </c>
    </row>
    <row r="65" spans="1:8">
      <c r="A65" s="2">
        <v>45658</v>
      </c>
      <c r="B65" s="4">
        <v>1086</v>
      </c>
      <c r="C65" s="4">
        <v>1096.8499999999999</v>
      </c>
      <c r="D65" s="4">
        <v>1077.1500000000001</v>
      </c>
      <c r="E65" s="4">
        <v>1082.05</v>
      </c>
      <c r="F65" s="4">
        <v>1079.55</v>
      </c>
      <c r="H65" s="10">
        <f t="shared" si="0"/>
        <v>-2.3104292777598079E-3</v>
      </c>
    </row>
    <row r="66" spans="1:8">
      <c r="A66" s="2">
        <v>45657</v>
      </c>
      <c r="B66" s="4">
        <v>1060.55</v>
      </c>
      <c r="C66" s="4">
        <v>1086.45</v>
      </c>
      <c r="D66" s="4">
        <v>1060.55</v>
      </c>
      <c r="E66" s="4">
        <v>1060.55</v>
      </c>
      <c r="F66" s="4">
        <v>1082.05</v>
      </c>
      <c r="H66" s="10">
        <f t="shared" si="0"/>
        <v>2.0272500117863374E-2</v>
      </c>
    </row>
    <row r="67" spans="1:8">
      <c r="A67" s="2">
        <v>45656</v>
      </c>
      <c r="B67" s="4">
        <v>1069.95</v>
      </c>
      <c r="C67" s="4">
        <v>1073.05</v>
      </c>
      <c r="D67" s="4">
        <v>1055.05</v>
      </c>
      <c r="E67" s="4">
        <v>1067.8</v>
      </c>
      <c r="F67" s="4">
        <v>1060.55</v>
      </c>
      <c r="H67" s="10">
        <f t="shared" si="0"/>
        <v>-6.7896609852032223E-3</v>
      </c>
    </row>
    <row r="68" spans="1:8">
      <c r="A68" s="2">
        <v>45653</v>
      </c>
      <c r="B68" s="4">
        <v>1074</v>
      </c>
      <c r="C68" s="4">
        <v>1079.8499999999999</v>
      </c>
      <c r="D68" s="4">
        <v>1060</v>
      </c>
      <c r="E68" s="4">
        <v>1071.2</v>
      </c>
      <c r="F68" s="4">
        <v>1067.8</v>
      </c>
      <c r="H68" s="10">
        <f t="shared" si="0"/>
        <v>-3.1740104555639382E-3</v>
      </c>
    </row>
    <row r="69" spans="1:8">
      <c r="A69" s="2">
        <v>45652</v>
      </c>
      <c r="B69" s="4">
        <v>1081.5</v>
      </c>
      <c r="C69" s="4">
        <v>1083.1500000000001</v>
      </c>
      <c r="D69" s="4">
        <v>1063.3499999999999</v>
      </c>
      <c r="E69" s="4">
        <v>1077.8</v>
      </c>
      <c r="F69" s="4">
        <v>1071.2</v>
      </c>
      <c r="H69" s="10">
        <f t="shared" ref="H69:H132" si="1">(F69-E69)/E69</f>
        <v>-6.1235850807199012E-3</v>
      </c>
    </row>
    <row r="70" spans="1:8">
      <c r="A70" s="2">
        <v>45650</v>
      </c>
      <c r="B70" s="4">
        <v>1075</v>
      </c>
      <c r="C70" s="4">
        <v>1081.95</v>
      </c>
      <c r="D70" s="4">
        <v>1070.6500000000001</v>
      </c>
      <c r="E70" s="4">
        <v>1073.75</v>
      </c>
      <c r="F70" s="4">
        <v>1077.8</v>
      </c>
      <c r="H70" s="10">
        <f t="shared" si="1"/>
        <v>3.7718277066355805E-3</v>
      </c>
    </row>
    <row r="71" spans="1:8">
      <c r="A71" s="2">
        <v>45649</v>
      </c>
      <c r="B71" s="4">
        <v>1074.8</v>
      </c>
      <c r="C71" s="4">
        <v>1078.7</v>
      </c>
      <c r="D71" s="4">
        <v>1065.7</v>
      </c>
      <c r="E71" s="4">
        <v>1069.5999999999999</v>
      </c>
      <c r="F71" s="4">
        <v>1073.75</v>
      </c>
      <c r="H71" s="10">
        <f t="shared" si="1"/>
        <v>3.8799551234107062E-3</v>
      </c>
    </row>
    <row r="72" spans="1:8">
      <c r="A72" s="2">
        <v>45646</v>
      </c>
      <c r="B72" s="4">
        <v>1083.95</v>
      </c>
      <c r="C72" s="4">
        <v>1083.95</v>
      </c>
      <c r="D72" s="4">
        <v>1067</v>
      </c>
      <c r="E72" s="4">
        <v>1078.45</v>
      </c>
      <c r="F72" s="4">
        <v>1069.5999999999999</v>
      </c>
      <c r="H72" s="10">
        <f t="shared" si="1"/>
        <v>-8.206221892531073E-3</v>
      </c>
    </row>
    <row r="73" spans="1:8">
      <c r="A73" s="2">
        <v>45645</v>
      </c>
      <c r="B73" s="4">
        <v>1080</v>
      </c>
      <c r="C73" s="4">
        <v>1088</v>
      </c>
      <c r="D73" s="4">
        <v>1075.6500000000001</v>
      </c>
      <c r="E73" s="4">
        <v>1091.75</v>
      </c>
      <c r="F73" s="4">
        <v>1078.45</v>
      </c>
      <c r="H73" s="10">
        <f t="shared" si="1"/>
        <v>-1.2182276162124988E-2</v>
      </c>
    </row>
    <row r="74" spans="1:8">
      <c r="A74" s="2">
        <v>45644</v>
      </c>
      <c r="B74" s="4">
        <v>1094.9000000000001</v>
      </c>
      <c r="C74" s="4">
        <v>1104.7</v>
      </c>
      <c r="D74" s="4">
        <v>1089.3</v>
      </c>
      <c r="E74" s="4">
        <v>1089.3</v>
      </c>
      <c r="F74" s="4">
        <v>1091.75</v>
      </c>
      <c r="H74" s="10">
        <f t="shared" si="1"/>
        <v>2.2491508308088181E-3</v>
      </c>
    </row>
    <row r="75" spans="1:8">
      <c r="A75" s="2">
        <v>45643</v>
      </c>
      <c r="B75" s="4">
        <v>1112.6500000000001</v>
      </c>
      <c r="C75" s="4">
        <v>1115.25</v>
      </c>
      <c r="D75" s="4">
        <v>1085</v>
      </c>
      <c r="E75" s="4">
        <v>1112.3499999999999</v>
      </c>
      <c r="F75" s="4">
        <v>1089.3</v>
      </c>
      <c r="H75" s="10">
        <f t="shared" si="1"/>
        <v>-2.0721895086977981E-2</v>
      </c>
    </row>
    <row r="76" spans="1:8">
      <c r="A76" s="2">
        <v>45642</v>
      </c>
      <c r="B76" s="4">
        <v>1120</v>
      </c>
      <c r="C76" s="4">
        <v>1128</v>
      </c>
      <c r="D76" s="4">
        <v>1110.05</v>
      </c>
      <c r="E76" s="4">
        <v>1111.45</v>
      </c>
      <c r="F76" s="4">
        <v>1112.3499999999999</v>
      </c>
      <c r="H76" s="10">
        <f t="shared" si="1"/>
        <v>8.0975302532715245E-4</v>
      </c>
    </row>
    <row r="77" spans="1:8">
      <c r="A77" s="2">
        <v>45639</v>
      </c>
      <c r="B77" s="4">
        <v>1112.1500000000001</v>
      </c>
      <c r="C77" s="4">
        <v>1117.3</v>
      </c>
      <c r="D77" s="4">
        <v>1097.3499999999999</v>
      </c>
      <c r="E77" s="4">
        <v>1111.0999999999999</v>
      </c>
      <c r="F77" s="4">
        <v>1111.45</v>
      </c>
      <c r="H77" s="10">
        <f t="shared" si="1"/>
        <v>3.1500315003162314E-4</v>
      </c>
    </row>
    <row r="78" spans="1:8">
      <c r="A78" s="2">
        <v>45638</v>
      </c>
      <c r="B78" s="4">
        <v>1140</v>
      </c>
      <c r="C78" s="4">
        <v>1142.75</v>
      </c>
      <c r="D78" s="4">
        <v>1109</v>
      </c>
      <c r="E78" s="4">
        <v>1135.3</v>
      </c>
      <c r="F78" s="4">
        <v>1111.0999999999999</v>
      </c>
      <c r="H78" s="10">
        <f t="shared" si="1"/>
        <v>-2.1315951730820088E-2</v>
      </c>
    </row>
    <row r="79" spans="1:8">
      <c r="A79" s="2">
        <v>45637</v>
      </c>
      <c r="B79" s="4">
        <v>1136.9000000000001</v>
      </c>
      <c r="C79" s="4">
        <v>1141.5999999999999</v>
      </c>
      <c r="D79" s="4">
        <v>1122.55</v>
      </c>
      <c r="E79" s="4">
        <v>1133.8499999999999</v>
      </c>
      <c r="F79" s="4">
        <v>1135.3</v>
      </c>
      <c r="H79" s="10">
        <f t="shared" si="1"/>
        <v>1.2788287692375936E-3</v>
      </c>
    </row>
    <row r="80" spans="1:8">
      <c r="A80" s="2">
        <v>45636</v>
      </c>
      <c r="B80" s="4">
        <v>1130</v>
      </c>
      <c r="C80" s="4">
        <v>1136.7</v>
      </c>
      <c r="D80" s="4">
        <v>1122.8</v>
      </c>
      <c r="E80" s="4">
        <v>1127.8499999999999</v>
      </c>
      <c r="F80" s="4">
        <v>1133.8499999999999</v>
      </c>
      <c r="H80" s="10">
        <f t="shared" si="1"/>
        <v>5.3198563638781754E-3</v>
      </c>
    </row>
    <row r="81" spans="1:8">
      <c r="A81" s="2">
        <v>45635</v>
      </c>
      <c r="B81" s="4">
        <v>1169.95</v>
      </c>
      <c r="C81" s="4">
        <v>1169.95</v>
      </c>
      <c r="D81" s="4">
        <v>1101.6500000000001</v>
      </c>
      <c r="E81" s="4">
        <v>1235.45</v>
      </c>
      <c r="F81" s="4">
        <v>1127.8499999999999</v>
      </c>
      <c r="H81" s="10">
        <f t="shared" si="1"/>
        <v>-8.7093771500263165E-2</v>
      </c>
    </row>
    <row r="82" spans="1:8">
      <c r="A82" s="2">
        <v>45632</v>
      </c>
      <c r="B82" s="4">
        <v>1251</v>
      </c>
      <c r="C82" s="4">
        <v>1255</v>
      </c>
      <c r="D82" s="4">
        <v>1230.5999999999999</v>
      </c>
      <c r="E82" s="4">
        <v>1244.75</v>
      </c>
      <c r="F82" s="4">
        <v>1235.45</v>
      </c>
      <c r="H82" s="10">
        <f t="shared" si="1"/>
        <v>-7.4713797951395499E-3</v>
      </c>
    </row>
    <row r="83" spans="1:8">
      <c r="A83" s="2">
        <v>45631</v>
      </c>
      <c r="B83" s="4">
        <v>1234.6500000000001</v>
      </c>
      <c r="C83" s="4">
        <v>1250</v>
      </c>
      <c r="D83" s="4">
        <v>1215.5999999999999</v>
      </c>
      <c r="E83" s="4">
        <v>1228.5</v>
      </c>
      <c r="F83" s="4">
        <v>1244.75</v>
      </c>
      <c r="H83" s="10">
        <f t="shared" si="1"/>
        <v>1.3227513227513227E-2</v>
      </c>
    </row>
    <row r="84" spans="1:8">
      <c r="A84" s="2">
        <v>45630</v>
      </c>
      <c r="B84" s="4">
        <v>1230.5</v>
      </c>
      <c r="C84" s="4">
        <v>1238.5</v>
      </c>
      <c r="D84" s="4">
        <v>1217.95</v>
      </c>
      <c r="E84" s="4">
        <v>1230.45</v>
      </c>
      <c r="F84" s="4">
        <v>1228.5</v>
      </c>
      <c r="H84" s="10">
        <f t="shared" si="1"/>
        <v>-1.5847860538827628E-3</v>
      </c>
    </row>
    <row r="85" spans="1:8">
      <c r="A85" s="2">
        <v>45629</v>
      </c>
      <c r="B85" s="4">
        <v>1227.1500000000001</v>
      </c>
      <c r="C85" s="4">
        <v>1233</v>
      </c>
      <c r="D85" s="4">
        <v>1215.2</v>
      </c>
      <c r="E85" s="4">
        <v>1227.1500000000001</v>
      </c>
      <c r="F85" s="4">
        <v>1230.45</v>
      </c>
      <c r="H85" s="10">
        <f t="shared" si="1"/>
        <v>2.6891578046693188E-3</v>
      </c>
    </row>
    <row r="86" spans="1:8">
      <c r="A86" s="2">
        <v>45628</v>
      </c>
      <c r="B86" s="4">
        <v>1225</v>
      </c>
      <c r="C86" s="4">
        <v>1244</v>
      </c>
      <c r="D86" s="4">
        <v>1219.7</v>
      </c>
      <c r="E86" s="4">
        <v>1244.6500000000001</v>
      </c>
      <c r="F86" s="4">
        <v>1227.1500000000001</v>
      </c>
      <c r="H86" s="10">
        <f t="shared" si="1"/>
        <v>-1.4060177559956612E-2</v>
      </c>
    </row>
    <row r="87" spans="1:8">
      <c r="A87" s="2">
        <v>45625</v>
      </c>
      <c r="B87" s="4">
        <v>1240</v>
      </c>
      <c r="C87" s="4">
        <v>1255.55</v>
      </c>
      <c r="D87" s="4">
        <v>1236</v>
      </c>
      <c r="E87" s="4">
        <v>1251.25</v>
      </c>
      <c r="F87" s="4">
        <v>1244.6500000000001</v>
      </c>
      <c r="H87" s="10">
        <f t="shared" si="1"/>
        <v>-5.2747252747252019E-3</v>
      </c>
    </row>
    <row r="88" spans="1:8">
      <c r="A88" s="2">
        <v>45624</v>
      </c>
      <c r="B88" s="4">
        <v>1260.25</v>
      </c>
      <c r="C88" s="4">
        <v>1281.9000000000001</v>
      </c>
      <c r="D88" s="4">
        <v>1243.95</v>
      </c>
      <c r="E88" s="4">
        <v>1261.5999999999999</v>
      </c>
      <c r="F88" s="4">
        <v>1251.25</v>
      </c>
      <c r="H88" s="10">
        <f t="shared" si="1"/>
        <v>-8.2038681039948557E-3</v>
      </c>
    </row>
    <row r="89" spans="1:8">
      <c r="A89" s="2">
        <v>45623</v>
      </c>
      <c r="B89" s="4">
        <v>1250</v>
      </c>
      <c r="C89" s="4">
        <v>1265.1500000000001</v>
      </c>
      <c r="D89" s="4">
        <v>1241.05</v>
      </c>
      <c r="E89" s="4">
        <v>1240.0999999999999</v>
      </c>
      <c r="F89" s="4">
        <v>1261.5999999999999</v>
      </c>
      <c r="H89" s="10">
        <f t="shared" si="1"/>
        <v>1.7337311507136521E-2</v>
      </c>
    </row>
    <row r="90" spans="1:8">
      <c r="A90" s="2">
        <v>45622</v>
      </c>
      <c r="B90" s="4">
        <v>1230.95</v>
      </c>
      <c r="C90" s="4">
        <v>1246.5999999999999</v>
      </c>
      <c r="D90" s="4">
        <v>1219</v>
      </c>
      <c r="E90" s="4">
        <v>1218.7</v>
      </c>
      <c r="F90" s="4">
        <v>1240.0999999999999</v>
      </c>
      <c r="H90" s="10">
        <f t="shared" si="1"/>
        <v>1.7559694756707853E-2</v>
      </c>
    </row>
    <row r="91" spans="1:8">
      <c r="A91" s="2">
        <v>45621</v>
      </c>
      <c r="B91" s="4">
        <v>1195</v>
      </c>
      <c r="C91" s="4">
        <v>1239.9000000000001</v>
      </c>
      <c r="D91" s="4">
        <v>1195</v>
      </c>
      <c r="E91" s="4">
        <v>1192.3</v>
      </c>
      <c r="F91" s="4">
        <v>1218.7</v>
      </c>
      <c r="H91" s="10">
        <f t="shared" si="1"/>
        <v>2.2142078335989343E-2</v>
      </c>
    </row>
    <row r="92" spans="1:8">
      <c r="A92" s="2">
        <v>45618</v>
      </c>
      <c r="B92" s="4">
        <v>1184.55</v>
      </c>
      <c r="C92" s="4">
        <v>1199.9000000000001</v>
      </c>
      <c r="D92" s="4">
        <v>1174</v>
      </c>
      <c r="E92" s="4">
        <v>1178.7</v>
      </c>
      <c r="F92" s="4">
        <v>1192.3</v>
      </c>
      <c r="H92" s="10">
        <f t="shared" si="1"/>
        <v>1.1538135233732E-2</v>
      </c>
    </row>
    <row r="93" spans="1:8">
      <c r="A93" s="2">
        <v>45617</v>
      </c>
      <c r="B93" s="4">
        <v>1185.05</v>
      </c>
      <c r="C93" s="4">
        <v>1195.9000000000001</v>
      </c>
      <c r="D93" s="4">
        <v>1169.55</v>
      </c>
      <c r="E93" s="4">
        <v>1185.3</v>
      </c>
      <c r="F93" s="4">
        <v>1178.7</v>
      </c>
      <c r="H93" s="10">
        <f t="shared" si="1"/>
        <v>-5.5682105796000247E-3</v>
      </c>
    </row>
    <row r="94" spans="1:8">
      <c r="A94" s="2">
        <v>45615</v>
      </c>
      <c r="B94" s="4">
        <v>1191</v>
      </c>
      <c r="C94" s="4">
        <v>1198.8499999999999</v>
      </c>
      <c r="D94" s="4">
        <v>1177</v>
      </c>
      <c r="E94" s="4">
        <v>1181.6500000000001</v>
      </c>
      <c r="F94" s="4">
        <v>1185.3</v>
      </c>
      <c r="H94" s="10">
        <f t="shared" si="1"/>
        <v>3.0889011128505594E-3</v>
      </c>
    </row>
    <row r="95" spans="1:8">
      <c r="A95" s="2">
        <v>45614</v>
      </c>
      <c r="B95" s="4">
        <v>1175.0999999999999</v>
      </c>
      <c r="C95" s="4">
        <v>1191.75</v>
      </c>
      <c r="D95" s="4">
        <v>1163.4000000000001</v>
      </c>
      <c r="E95" s="4">
        <v>1175.0999999999999</v>
      </c>
      <c r="F95" s="4">
        <v>1181.6500000000001</v>
      </c>
      <c r="H95" s="10">
        <f t="shared" si="1"/>
        <v>5.5739937026637581E-3</v>
      </c>
    </row>
    <row r="96" spans="1:8">
      <c r="A96" s="2">
        <v>45610</v>
      </c>
      <c r="B96" s="4">
        <v>1184.3499999999999</v>
      </c>
      <c r="C96" s="4">
        <v>1194.3</v>
      </c>
      <c r="D96" s="4">
        <v>1162.25</v>
      </c>
      <c r="E96" s="4">
        <v>1183.9000000000001</v>
      </c>
      <c r="F96" s="4">
        <v>1175.0999999999999</v>
      </c>
      <c r="H96" s="10">
        <f t="shared" si="1"/>
        <v>-7.4330602246812918E-3</v>
      </c>
    </row>
    <row r="97" spans="1:8">
      <c r="A97" s="2">
        <v>45609</v>
      </c>
      <c r="B97" s="4">
        <v>1176.05</v>
      </c>
      <c r="C97" s="4">
        <v>1189.45</v>
      </c>
      <c r="D97" s="4">
        <v>1166.3</v>
      </c>
      <c r="E97" s="4">
        <v>1176.2</v>
      </c>
      <c r="F97" s="4">
        <v>1183.9000000000001</v>
      </c>
      <c r="H97" s="10">
        <f t="shared" si="1"/>
        <v>6.5465056963101894E-3</v>
      </c>
    </row>
    <row r="98" spans="1:8">
      <c r="A98" s="2">
        <v>45608</v>
      </c>
      <c r="B98" s="4">
        <v>1220.8499999999999</v>
      </c>
      <c r="C98" s="4">
        <v>1222.25</v>
      </c>
      <c r="D98" s="4">
        <v>1172.1500000000001</v>
      </c>
      <c r="E98" s="4">
        <v>1220.8499999999999</v>
      </c>
      <c r="F98" s="4">
        <v>1176.2</v>
      </c>
      <c r="H98" s="10">
        <f t="shared" si="1"/>
        <v>-3.6572879551132302E-2</v>
      </c>
    </row>
    <row r="99" spans="1:8">
      <c r="A99" s="2">
        <v>45607</v>
      </c>
      <c r="B99" s="4">
        <v>1250</v>
      </c>
      <c r="C99" s="4">
        <v>1250</v>
      </c>
      <c r="D99" s="4">
        <v>1212.5</v>
      </c>
      <c r="E99" s="4">
        <v>1251.05</v>
      </c>
      <c r="F99" s="4">
        <v>1220.8499999999999</v>
      </c>
      <c r="H99" s="10">
        <f t="shared" si="1"/>
        <v>-2.4139722632988327E-2</v>
      </c>
    </row>
    <row r="100" spans="1:8">
      <c r="A100" s="2">
        <v>45604</v>
      </c>
      <c r="B100" s="4">
        <v>1260.05</v>
      </c>
      <c r="C100" s="4">
        <v>1262.45</v>
      </c>
      <c r="D100" s="4">
        <v>1242.8</v>
      </c>
      <c r="E100" s="4">
        <v>1258.5</v>
      </c>
      <c r="F100" s="4">
        <v>1251.05</v>
      </c>
      <c r="H100" s="10">
        <f t="shared" si="1"/>
        <v>-5.9197457290425474E-3</v>
      </c>
    </row>
    <row r="101" spans="1:8">
      <c r="A101" s="2">
        <v>45603</v>
      </c>
      <c r="B101" s="4">
        <v>1275.1500000000001</v>
      </c>
      <c r="C101" s="4">
        <v>1314</v>
      </c>
      <c r="D101" s="4">
        <v>1255.5</v>
      </c>
      <c r="E101" s="4">
        <v>1275.1500000000001</v>
      </c>
      <c r="F101" s="4">
        <v>1258.5</v>
      </c>
      <c r="H101" s="10">
        <f t="shared" si="1"/>
        <v>-1.3057287377955605E-2</v>
      </c>
    </row>
    <row r="102" spans="1:8">
      <c r="A102" s="2">
        <v>45602</v>
      </c>
      <c r="B102" s="4">
        <v>1270</v>
      </c>
      <c r="C102" s="4">
        <v>1282.75</v>
      </c>
      <c r="D102" s="4">
        <v>1266.05</v>
      </c>
      <c r="E102" s="4">
        <v>1266.25</v>
      </c>
      <c r="F102" s="4">
        <v>1275.1500000000001</v>
      </c>
      <c r="H102" s="10">
        <f t="shared" si="1"/>
        <v>7.0286278381047115E-3</v>
      </c>
    </row>
    <row r="103" spans="1:8">
      <c r="A103" s="2">
        <v>45601</v>
      </c>
      <c r="B103" s="4">
        <v>1278</v>
      </c>
      <c r="C103" s="4">
        <v>1280.55</v>
      </c>
      <c r="D103" s="4">
        <v>1256.5</v>
      </c>
      <c r="E103" s="4">
        <v>1272.1500000000001</v>
      </c>
      <c r="F103" s="4">
        <v>1266.25</v>
      </c>
      <c r="H103" s="10">
        <f t="shared" si="1"/>
        <v>-4.6378178673899227E-3</v>
      </c>
    </row>
    <row r="104" spans="1:8">
      <c r="A104" s="2">
        <v>45600</v>
      </c>
      <c r="B104" s="4">
        <v>1275</v>
      </c>
      <c r="C104" s="4">
        <v>1282.5</v>
      </c>
      <c r="D104" s="4">
        <v>1265.05</v>
      </c>
      <c r="E104" s="4">
        <v>1275.0999999999999</v>
      </c>
      <c r="F104" s="4">
        <v>1272.1500000000001</v>
      </c>
      <c r="H104" s="10">
        <f t="shared" si="1"/>
        <v>-2.3135440357617584E-3</v>
      </c>
    </row>
    <row r="105" spans="1:8">
      <c r="A105" s="2">
        <v>45597</v>
      </c>
      <c r="B105" s="4">
        <v>1287.75</v>
      </c>
      <c r="C105" s="4">
        <v>1293.5</v>
      </c>
      <c r="D105" s="4">
        <v>1250</v>
      </c>
      <c r="E105" s="4">
        <v>1283.1500000000001</v>
      </c>
      <c r="F105" s="4">
        <v>1275.0999999999999</v>
      </c>
      <c r="H105" s="10">
        <f t="shared" si="1"/>
        <v>-6.2736235046566505E-3</v>
      </c>
    </row>
    <row r="106" spans="1:8">
      <c r="A106" s="2">
        <v>45596</v>
      </c>
      <c r="B106" s="4">
        <v>1308.9000000000001</v>
      </c>
      <c r="C106" s="4">
        <v>1319.75</v>
      </c>
      <c r="D106" s="4">
        <v>1277.2</v>
      </c>
      <c r="E106" s="4">
        <v>1300.05</v>
      </c>
      <c r="F106" s="4">
        <v>1283.1500000000001</v>
      </c>
      <c r="H106" s="10">
        <f t="shared" si="1"/>
        <v>-1.2999500019229926E-2</v>
      </c>
    </row>
    <row r="107" spans="1:8">
      <c r="A107" s="2">
        <v>45595</v>
      </c>
      <c r="B107" s="4">
        <v>1284.6500000000001</v>
      </c>
      <c r="C107" s="4">
        <v>1304</v>
      </c>
      <c r="D107" s="4">
        <v>1267.3</v>
      </c>
      <c r="E107" s="4">
        <v>1278.3</v>
      </c>
      <c r="F107" s="4">
        <v>1300.05</v>
      </c>
      <c r="H107" s="10">
        <f t="shared" si="1"/>
        <v>1.7014785261675665E-2</v>
      </c>
    </row>
    <row r="108" spans="1:8">
      <c r="A108" s="2">
        <v>45594</v>
      </c>
      <c r="B108" s="4">
        <v>1291.8499999999999</v>
      </c>
      <c r="C108" s="4">
        <v>1298.05</v>
      </c>
      <c r="D108" s="4">
        <v>1268.75</v>
      </c>
      <c r="E108" s="4">
        <v>1296.6500000000001</v>
      </c>
      <c r="F108" s="4">
        <v>1278.3</v>
      </c>
      <c r="H108" s="10">
        <f t="shared" si="1"/>
        <v>-1.4151852851579173E-2</v>
      </c>
    </row>
    <row r="109" spans="1:8">
      <c r="A109" s="2">
        <v>45593</v>
      </c>
      <c r="B109" s="4">
        <v>1290</v>
      </c>
      <c r="C109" s="4">
        <v>1311.4</v>
      </c>
      <c r="D109" s="4">
        <v>1276.5</v>
      </c>
      <c r="E109" s="4">
        <v>1291.25</v>
      </c>
      <c r="F109" s="4">
        <v>1296.6500000000001</v>
      </c>
      <c r="H109" s="10">
        <f t="shared" si="1"/>
        <v>4.1819941916748041E-3</v>
      </c>
    </row>
    <row r="110" spans="1:8">
      <c r="A110" s="2">
        <v>45590</v>
      </c>
      <c r="B110" s="4">
        <v>1288</v>
      </c>
      <c r="C110" s="4">
        <v>1328.85</v>
      </c>
      <c r="D110" s="4">
        <v>1275</v>
      </c>
      <c r="E110" s="4">
        <v>1255.0999999999999</v>
      </c>
      <c r="F110" s="4">
        <v>1291.25</v>
      </c>
      <c r="H110" s="10">
        <f t="shared" si="1"/>
        <v>2.8802485857700656E-2</v>
      </c>
    </row>
    <row r="111" spans="1:8">
      <c r="A111" s="2">
        <v>45589</v>
      </c>
      <c r="B111" s="4">
        <v>1295</v>
      </c>
      <c r="C111" s="4">
        <v>1298.3499999999999</v>
      </c>
      <c r="D111" s="4">
        <v>1238.7</v>
      </c>
      <c r="E111" s="4">
        <v>1292.3499999999999</v>
      </c>
      <c r="F111" s="4">
        <v>1255.0999999999999</v>
      </c>
      <c r="H111" s="10">
        <f t="shared" si="1"/>
        <v>-2.8823461136688981E-2</v>
      </c>
    </row>
    <row r="112" spans="1:8">
      <c r="A112" s="2">
        <v>45588</v>
      </c>
      <c r="B112" s="4">
        <v>1300</v>
      </c>
      <c r="C112" s="4">
        <v>1306</v>
      </c>
      <c r="D112" s="4">
        <v>1284.5999999999999</v>
      </c>
      <c r="E112" s="4">
        <v>1299.5999999999999</v>
      </c>
      <c r="F112" s="4">
        <v>1292.3499999999999</v>
      </c>
      <c r="H112" s="10">
        <f t="shared" si="1"/>
        <v>-5.578639581409665E-3</v>
      </c>
    </row>
    <row r="113" spans="1:8">
      <c r="A113" s="2">
        <v>45587</v>
      </c>
      <c r="B113" s="4">
        <v>1321</v>
      </c>
      <c r="C113" s="4">
        <v>1332.9</v>
      </c>
      <c r="D113" s="4">
        <v>1296.05</v>
      </c>
      <c r="E113" s="4">
        <v>1313.5</v>
      </c>
      <c r="F113" s="4">
        <v>1299.5999999999999</v>
      </c>
      <c r="H113" s="10">
        <f t="shared" si="1"/>
        <v>-1.0582413399314877E-2</v>
      </c>
    </row>
    <row r="114" spans="1:8">
      <c r="A114" s="2">
        <v>45586</v>
      </c>
      <c r="B114" s="4">
        <v>1336.15</v>
      </c>
      <c r="C114" s="4">
        <v>1342.7</v>
      </c>
      <c r="D114" s="4">
        <v>1308.5</v>
      </c>
      <c r="E114" s="4">
        <v>1336.15</v>
      </c>
      <c r="F114" s="4">
        <v>1313.5</v>
      </c>
      <c r="H114" s="10">
        <f t="shared" si="1"/>
        <v>-1.6951689555813412E-2</v>
      </c>
    </row>
    <row r="115" spans="1:8">
      <c r="A115" s="2">
        <v>45583</v>
      </c>
      <c r="B115" s="4">
        <v>1350</v>
      </c>
      <c r="C115" s="4">
        <v>1358.95</v>
      </c>
      <c r="D115" s="4">
        <v>1333</v>
      </c>
      <c r="E115" s="4">
        <v>1347.3</v>
      </c>
      <c r="F115" s="4">
        <v>1336.15</v>
      </c>
      <c r="H115" s="10">
        <f t="shared" si="1"/>
        <v>-8.2758108810212002E-3</v>
      </c>
    </row>
    <row r="116" spans="1:8">
      <c r="A116" s="2">
        <v>45582</v>
      </c>
      <c r="B116" s="4">
        <v>1361</v>
      </c>
      <c r="C116" s="4">
        <v>1364.85</v>
      </c>
      <c r="D116" s="4">
        <v>1327</v>
      </c>
      <c r="E116" s="4">
        <v>1361</v>
      </c>
      <c r="F116" s="4">
        <v>1347.3</v>
      </c>
      <c r="H116" s="10">
        <f t="shared" si="1"/>
        <v>-1.0066127847171232E-2</v>
      </c>
    </row>
    <row r="117" spans="1:8">
      <c r="A117" s="2">
        <v>45581</v>
      </c>
      <c r="B117" s="4">
        <v>1347.15</v>
      </c>
      <c r="C117" s="4">
        <v>1366.6</v>
      </c>
      <c r="D117" s="4">
        <v>1337.25</v>
      </c>
      <c r="E117" s="4">
        <v>1342.45</v>
      </c>
      <c r="F117" s="4">
        <v>1361</v>
      </c>
      <c r="H117" s="10">
        <f t="shared" si="1"/>
        <v>1.3818019293083506E-2</v>
      </c>
    </row>
    <row r="118" spans="1:8">
      <c r="A118" s="2">
        <v>45580</v>
      </c>
      <c r="B118" s="4">
        <v>1319.8</v>
      </c>
      <c r="C118" s="4">
        <v>1346.15</v>
      </c>
      <c r="D118" s="4">
        <v>1314</v>
      </c>
      <c r="E118" s="4">
        <v>1312.6</v>
      </c>
      <c r="F118" s="4">
        <v>1342.45</v>
      </c>
      <c r="H118" s="10">
        <f t="shared" si="1"/>
        <v>2.2741124485753571E-2</v>
      </c>
    </row>
    <row r="119" spans="1:8">
      <c r="A119" s="2">
        <v>45579</v>
      </c>
      <c r="B119" s="4">
        <v>1322</v>
      </c>
      <c r="C119" s="4">
        <v>1327.8</v>
      </c>
      <c r="D119" s="4">
        <v>1306.6500000000001</v>
      </c>
      <c r="E119" s="4">
        <v>1315.7</v>
      </c>
      <c r="F119" s="4">
        <v>1312.6</v>
      </c>
      <c r="H119" s="10">
        <f t="shared" si="1"/>
        <v>-2.3561602188949884E-3</v>
      </c>
    </row>
    <row r="120" spans="1:8">
      <c r="A120" s="2">
        <v>45576</v>
      </c>
      <c r="B120" s="4">
        <v>1325</v>
      </c>
      <c r="C120" s="4">
        <v>1325</v>
      </c>
      <c r="D120" s="4">
        <v>1311</v>
      </c>
      <c r="E120" s="4">
        <v>1316.75</v>
      </c>
      <c r="F120" s="4">
        <v>1315.7</v>
      </c>
      <c r="H120" s="10">
        <f t="shared" si="1"/>
        <v>-7.9741788494395636E-4</v>
      </c>
    </row>
    <row r="121" spans="1:8">
      <c r="A121" s="2">
        <v>45575</v>
      </c>
      <c r="B121" s="4">
        <v>1344.9</v>
      </c>
      <c r="C121" s="4">
        <v>1355.35</v>
      </c>
      <c r="D121" s="4">
        <v>1313.2</v>
      </c>
      <c r="E121" s="4">
        <v>1333.4</v>
      </c>
      <c r="F121" s="4">
        <v>1316.75</v>
      </c>
      <c r="H121" s="10">
        <f t="shared" si="1"/>
        <v>-1.2486875656217257E-2</v>
      </c>
    </row>
    <row r="122" spans="1:8">
      <c r="A122" s="2">
        <v>45574</v>
      </c>
      <c r="B122" s="4">
        <v>1308</v>
      </c>
      <c r="C122" s="4">
        <v>1350.55</v>
      </c>
      <c r="D122" s="4">
        <v>1303</v>
      </c>
      <c r="E122" s="4">
        <v>1304.55</v>
      </c>
      <c r="F122" s="4">
        <v>1333.4</v>
      </c>
      <c r="H122" s="10">
        <f t="shared" si="1"/>
        <v>2.2114905522977377E-2</v>
      </c>
    </row>
    <row r="123" spans="1:8">
      <c r="A123" s="2">
        <v>45573</v>
      </c>
      <c r="B123" s="4">
        <v>1318</v>
      </c>
      <c r="C123" s="4">
        <v>1343.1</v>
      </c>
      <c r="D123" s="4">
        <v>1300.25</v>
      </c>
      <c r="E123" s="4">
        <v>1332.35</v>
      </c>
      <c r="F123" s="4">
        <v>1304.55</v>
      </c>
      <c r="H123" s="10">
        <f t="shared" si="1"/>
        <v>-2.0865388223815031E-2</v>
      </c>
    </row>
    <row r="124" spans="1:8">
      <c r="A124" s="2">
        <v>45572</v>
      </c>
      <c r="B124" s="4">
        <v>1343.25</v>
      </c>
      <c r="C124" s="4">
        <v>1355.55</v>
      </c>
      <c r="D124" s="4">
        <v>1325</v>
      </c>
      <c r="E124" s="4">
        <v>1343.25</v>
      </c>
      <c r="F124" s="4">
        <v>1332.35</v>
      </c>
      <c r="H124" s="10">
        <f t="shared" si="1"/>
        <v>-8.1146473106272782E-3</v>
      </c>
    </row>
    <row r="125" spans="1:8">
      <c r="A125" s="2">
        <v>45569</v>
      </c>
      <c r="B125" s="4">
        <v>1348</v>
      </c>
      <c r="C125" s="4">
        <v>1357.15</v>
      </c>
      <c r="D125" s="4">
        <v>1333.1</v>
      </c>
      <c r="E125" s="4">
        <v>1348.4</v>
      </c>
      <c r="F125" s="4">
        <v>1343.25</v>
      </c>
      <c r="H125" s="10">
        <f t="shared" si="1"/>
        <v>-3.8193414417087589E-3</v>
      </c>
    </row>
    <row r="126" spans="1:8">
      <c r="A126" s="2">
        <v>45568</v>
      </c>
      <c r="B126" s="4">
        <v>1350.3</v>
      </c>
      <c r="C126" s="4">
        <v>1388</v>
      </c>
      <c r="D126" s="4">
        <v>1338.05</v>
      </c>
      <c r="E126" s="4">
        <v>1388.25</v>
      </c>
      <c r="F126" s="4">
        <v>1348.4</v>
      </c>
      <c r="H126" s="10">
        <f t="shared" si="1"/>
        <v>-2.8705204394021185E-2</v>
      </c>
    </row>
    <row r="127" spans="1:8">
      <c r="A127" s="2">
        <v>45566</v>
      </c>
      <c r="B127" s="4">
        <v>1395</v>
      </c>
      <c r="C127" s="4">
        <v>1415.5</v>
      </c>
      <c r="D127" s="4">
        <v>1369.05</v>
      </c>
      <c r="E127" s="4">
        <v>1393.4</v>
      </c>
      <c r="F127" s="4">
        <v>1388.25</v>
      </c>
      <c r="H127" s="10">
        <f t="shared" si="1"/>
        <v>-3.6959954069183945E-3</v>
      </c>
    </row>
    <row r="128" spans="1:8">
      <c r="A128" s="2">
        <v>45565</v>
      </c>
      <c r="B128" s="4">
        <v>1388.75</v>
      </c>
      <c r="C128" s="4">
        <v>1407</v>
      </c>
      <c r="D128" s="4">
        <v>1377</v>
      </c>
      <c r="E128" s="4">
        <v>1388.65</v>
      </c>
      <c r="F128" s="4">
        <v>1393.4</v>
      </c>
      <c r="H128" s="10">
        <f t="shared" si="1"/>
        <v>3.4205883411946854E-3</v>
      </c>
    </row>
    <row r="129" spans="1:8">
      <c r="A129" s="2">
        <v>45562</v>
      </c>
      <c r="B129" s="4">
        <v>1410</v>
      </c>
      <c r="C129" s="4">
        <v>1410</v>
      </c>
      <c r="D129" s="4">
        <v>1343.55</v>
      </c>
      <c r="E129" s="4">
        <v>1422.3</v>
      </c>
      <c r="F129" s="4">
        <v>1388.65</v>
      </c>
      <c r="H129" s="10">
        <f t="shared" si="1"/>
        <v>-2.3658862405962079E-2</v>
      </c>
    </row>
    <row r="130" spans="1:8">
      <c r="A130" s="2">
        <v>45561</v>
      </c>
      <c r="B130" s="4">
        <v>1429.5</v>
      </c>
      <c r="C130" s="4">
        <v>1432</v>
      </c>
      <c r="D130" s="4">
        <v>1407.2</v>
      </c>
      <c r="E130" s="4">
        <v>1429.55</v>
      </c>
      <c r="F130" s="4">
        <v>1422.3</v>
      </c>
      <c r="H130" s="10">
        <f t="shared" si="1"/>
        <v>-5.0715260046867898E-3</v>
      </c>
    </row>
    <row r="131" spans="1:8">
      <c r="A131" s="2">
        <v>45560</v>
      </c>
      <c r="B131" s="4">
        <v>1446</v>
      </c>
      <c r="C131" s="4">
        <v>1446.95</v>
      </c>
      <c r="D131" s="4">
        <v>1408.1</v>
      </c>
      <c r="E131" s="4">
        <v>1446.35</v>
      </c>
      <c r="F131" s="4">
        <v>1429.55</v>
      </c>
      <c r="H131" s="10">
        <f t="shared" si="1"/>
        <v>-1.1615445777301453E-2</v>
      </c>
    </row>
    <row r="132" spans="1:8">
      <c r="A132" s="2">
        <v>45559</v>
      </c>
      <c r="B132" s="4">
        <v>1446.7</v>
      </c>
      <c r="C132" s="4">
        <v>1461.2</v>
      </c>
      <c r="D132" s="4">
        <v>1429.35</v>
      </c>
      <c r="E132" s="4">
        <v>1449.3</v>
      </c>
      <c r="F132" s="4">
        <v>1446.35</v>
      </c>
      <c r="H132" s="10">
        <f t="shared" si="1"/>
        <v>-2.0354653970882809E-3</v>
      </c>
    </row>
    <row r="133" spans="1:8">
      <c r="A133" s="2">
        <v>45558</v>
      </c>
      <c r="B133" s="4">
        <v>1463.85</v>
      </c>
      <c r="C133" s="4">
        <v>1464.95</v>
      </c>
      <c r="D133" s="4">
        <v>1442.05</v>
      </c>
      <c r="E133" s="4">
        <v>1456.6</v>
      </c>
      <c r="F133" s="4">
        <v>1449.3</v>
      </c>
      <c r="H133" s="10">
        <f t="shared" ref="H133:H196" si="2">(F133-E133)/E133</f>
        <v>-5.0116710146917171E-3</v>
      </c>
    </row>
    <row r="134" spans="1:8">
      <c r="A134" s="2">
        <v>45555</v>
      </c>
      <c r="B134" s="4">
        <v>1454</v>
      </c>
      <c r="C134" s="4">
        <v>1469.45</v>
      </c>
      <c r="D134" s="4">
        <v>1440.45</v>
      </c>
      <c r="E134" s="4">
        <v>1444.85</v>
      </c>
      <c r="F134" s="4">
        <v>1456.6</v>
      </c>
      <c r="H134" s="10">
        <f t="shared" si="2"/>
        <v>8.1323320759940487E-3</v>
      </c>
    </row>
    <row r="135" spans="1:8">
      <c r="A135" s="2">
        <v>45554</v>
      </c>
      <c r="B135" s="4">
        <v>1439.3</v>
      </c>
      <c r="C135" s="4">
        <v>1456.85</v>
      </c>
      <c r="D135" s="4">
        <v>1429.55</v>
      </c>
      <c r="E135" s="4">
        <v>1432.15</v>
      </c>
      <c r="F135" s="4">
        <v>1444.85</v>
      </c>
      <c r="H135" s="10">
        <f t="shared" si="2"/>
        <v>8.8677861955799436E-3</v>
      </c>
    </row>
    <row r="136" spans="1:8">
      <c r="A136" s="2">
        <v>45553</v>
      </c>
      <c r="B136" s="4">
        <v>1459.4</v>
      </c>
      <c r="C136" s="4">
        <v>1464.65</v>
      </c>
      <c r="D136" s="4">
        <v>1426.25</v>
      </c>
      <c r="E136" s="4">
        <v>1459.4</v>
      </c>
      <c r="F136" s="4">
        <v>1432.15</v>
      </c>
      <c r="H136" s="10">
        <f t="shared" si="2"/>
        <v>-1.8672057009730025E-2</v>
      </c>
    </row>
    <row r="137" spans="1:8">
      <c r="A137" s="2">
        <v>45552</v>
      </c>
      <c r="B137" s="4">
        <v>1460</v>
      </c>
      <c r="C137" s="4">
        <v>1481.7</v>
      </c>
      <c r="D137" s="4">
        <v>1449.15</v>
      </c>
      <c r="E137" s="4">
        <v>1456.35</v>
      </c>
      <c r="F137" s="4">
        <v>1459.4</v>
      </c>
      <c r="H137" s="10">
        <f t="shared" si="2"/>
        <v>2.0942767878601863E-3</v>
      </c>
    </row>
    <row r="138" spans="1:8">
      <c r="A138" s="2">
        <v>45551</v>
      </c>
      <c r="B138" s="4">
        <v>1476</v>
      </c>
      <c r="C138" s="4">
        <v>1476</v>
      </c>
      <c r="D138" s="4">
        <v>1416.2</v>
      </c>
      <c r="E138" s="4">
        <v>1491.3</v>
      </c>
      <c r="F138" s="4">
        <v>1456.35</v>
      </c>
      <c r="H138" s="10">
        <f t="shared" si="2"/>
        <v>-2.3435928384630891E-2</v>
      </c>
    </row>
    <row r="139" spans="1:8">
      <c r="A139" s="2">
        <v>45548</v>
      </c>
      <c r="B139" s="4">
        <v>1520</v>
      </c>
      <c r="C139" s="4">
        <v>1520</v>
      </c>
      <c r="D139" s="4">
        <v>1478</v>
      </c>
      <c r="E139" s="4">
        <v>1513.45</v>
      </c>
      <c r="F139" s="4">
        <v>1491.3</v>
      </c>
      <c r="H139" s="10">
        <f t="shared" si="2"/>
        <v>-1.4635435594172314E-2</v>
      </c>
    </row>
    <row r="140" spans="1:8">
      <c r="A140" s="2">
        <v>45547</v>
      </c>
      <c r="B140" s="4">
        <v>1508.7</v>
      </c>
      <c r="C140" s="4">
        <v>1535</v>
      </c>
      <c r="D140" s="4">
        <v>1501.5</v>
      </c>
      <c r="E140" s="4">
        <v>1499.95</v>
      </c>
      <c r="F140" s="4">
        <v>1513.45</v>
      </c>
      <c r="H140" s="10">
        <f t="shared" si="2"/>
        <v>9.0003000100003332E-3</v>
      </c>
    </row>
    <row r="141" spans="1:8">
      <c r="A141" s="2">
        <v>45546</v>
      </c>
      <c r="B141" s="4">
        <v>1505</v>
      </c>
      <c r="C141" s="4">
        <v>1541.85</v>
      </c>
      <c r="D141" s="4">
        <v>1495.2</v>
      </c>
      <c r="E141" s="4">
        <v>1503.05</v>
      </c>
      <c r="F141" s="4">
        <v>1499.95</v>
      </c>
      <c r="H141" s="10">
        <f t="shared" si="2"/>
        <v>-2.0624729716243032E-3</v>
      </c>
    </row>
    <row r="142" spans="1:8">
      <c r="A142" s="2">
        <v>45545</v>
      </c>
      <c r="B142" s="4">
        <v>1500</v>
      </c>
      <c r="C142" s="4">
        <v>1511.9</v>
      </c>
      <c r="D142" s="4">
        <v>1481.7</v>
      </c>
      <c r="E142" s="4">
        <v>1492.05</v>
      </c>
      <c r="F142" s="4">
        <v>1503.05</v>
      </c>
      <c r="H142" s="10">
        <f t="shared" si="2"/>
        <v>7.3724070909151843E-3</v>
      </c>
    </row>
    <row r="143" spans="1:8">
      <c r="A143" s="2">
        <v>45544</v>
      </c>
      <c r="B143" s="4">
        <v>1444.95</v>
      </c>
      <c r="C143" s="4">
        <v>1528.25</v>
      </c>
      <c r="D143" s="4">
        <v>1425.15</v>
      </c>
      <c r="E143" s="4">
        <v>1443.45</v>
      </c>
      <c r="F143" s="4">
        <v>1492.05</v>
      </c>
      <c r="H143" s="10">
        <f t="shared" si="2"/>
        <v>3.3669333887560986E-2</v>
      </c>
    </row>
    <row r="144" spans="1:8">
      <c r="A144" s="2">
        <v>45541</v>
      </c>
      <c r="B144" s="4">
        <v>1453.5</v>
      </c>
      <c r="C144" s="4">
        <v>1455.5</v>
      </c>
      <c r="D144" s="4">
        <v>1417.1</v>
      </c>
      <c r="E144" s="4">
        <v>1457.7</v>
      </c>
      <c r="F144" s="4">
        <v>1443.45</v>
      </c>
      <c r="H144" s="10">
        <f t="shared" si="2"/>
        <v>-9.7756740069973244E-3</v>
      </c>
    </row>
    <row r="145" spans="1:8">
      <c r="A145" s="2">
        <v>45540</v>
      </c>
      <c r="B145" s="4">
        <v>1480</v>
      </c>
      <c r="C145" s="4">
        <v>1483.95</v>
      </c>
      <c r="D145" s="4">
        <v>1453</v>
      </c>
      <c r="E145" s="4">
        <v>1475.3</v>
      </c>
      <c r="F145" s="4">
        <v>1457.7</v>
      </c>
      <c r="H145" s="10">
        <f t="shared" si="2"/>
        <v>-1.192977699450953E-2</v>
      </c>
    </row>
    <row r="146" spans="1:8">
      <c r="A146" s="2">
        <v>45539</v>
      </c>
      <c r="B146" s="4">
        <v>1455</v>
      </c>
      <c r="C146" s="4">
        <v>1478.95</v>
      </c>
      <c r="D146" s="4">
        <v>1449.6</v>
      </c>
      <c r="E146" s="4">
        <v>1460.75</v>
      </c>
      <c r="F146" s="4">
        <v>1475.3</v>
      </c>
      <c r="H146" s="10">
        <f t="shared" si="2"/>
        <v>9.9606366592503541E-3</v>
      </c>
    </row>
    <row r="147" spans="1:8">
      <c r="A147" s="2">
        <v>45538</v>
      </c>
      <c r="B147" s="4">
        <v>1470</v>
      </c>
      <c r="C147" s="4">
        <v>1479.75</v>
      </c>
      <c r="D147" s="4">
        <v>1456.2</v>
      </c>
      <c r="E147" s="4">
        <v>1470.05</v>
      </c>
      <c r="F147" s="4">
        <v>1460.75</v>
      </c>
      <c r="H147" s="10">
        <f t="shared" si="2"/>
        <v>-6.326315431447879E-3</v>
      </c>
    </row>
    <row r="148" spans="1:8">
      <c r="A148" s="2">
        <v>45537</v>
      </c>
      <c r="B148" s="4">
        <v>1488.65</v>
      </c>
      <c r="C148" s="4">
        <v>1491.85</v>
      </c>
      <c r="D148" s="4">
        <v>1464.65</v>
      </c>
      <c r="E148" s="4">
        <v>1481.2</v>
      </c>
      <c r="F148" s="4">
        <v>1470.05</v>
      </c>
      <c r="H148" s="10">
        <f t="shared" si="2"/>
        <v>-7.5276802592493183E-3</v>
      </c>
    </row>
    <row r="149" spans="1:8">
      <c r="A149" s="2">
        <v>45534</v>
      </c>
      <c r="B149" s="4">
        <v>1476</v>
      </c>
      <c r="C149" s="4">
        <v>1487.45</v>
      </c>
      <c r="D149" s="4">
        <v>1465.15</v>
      </c>
      <c r="E149" s="4">
        <v>1476.7</v>
      </c>
      <c r="F149" s="4">
        <v>1481.2</v>
      </c>
      <c r="H149" s="10">
        <f t="shared" si="2"/>
        <v>3.0473352745987673E-3</v>
      </c>
    </row>
    <row r="150" spans="1:8">
      <c r="A150" s="2">
        <v>45533</v>
      </c>
      <c r="B150" s="4">
        <v>1484.7</v>
      </c>
      <c r="C150" s="4">
        <v>1485</v>
      </c>
      <c r="D150" s="4">
        <v>1451</v>
      </c>
      <c r="E150" s="4">
        <v>1477.5</v>
      </c>
      <c r="F150" s="4">
        <v>1476.7</v>
      </c>
      <c r="H150" s="10">
        <f t="shared" si="2"/>
        <v>-5.4145516074447007E-4</v>
      </c>
    </row>
    <row r="151" spans="1:8">
      <c r="A151" s="2">
        <v>45532</v>
      </c>
      <c r="B151" s="4">
        <v>1462</v>
      </c>
      <c r="C151" s="4">
        <v>1499.95</v>
      </c>
      <c r="D151" s="4">
        <v>1450.15</v>
      </c>
      <c r="E151" s="4">
        <v>1456.35</v>
      </c>
      <c r="F151" s="4">
        <v>1477.5</v>
      </c>
      <c r="H151" s="10">
        <f t="shared" si="2"/>
        <v>1.4522607889587045E-2</v>
      </c>
    </row>
    <row r="152" spans="1:8">
      <c r="A152" s="2">
        <v>45531</v>
      </c>
      <c r="B152" s="4">
        <v>1455.1</v>
      </c>
      <c r="C152" s="4">
        <v>1461.25</v>
      </c>
      <c r="D152" s="4">
        <v>1435.2</v>
      </c>
      <c r="E152" s="4">
        <v>1454.75</v>
      </c>
      <c r="F152" s="4">
        <v>1456.35</v>
      </c>
      <c r="H152" s="10">
        <f t="shared" si="2"/>
        <v>1.0998453342498085E-3</v>
      </c>
    </row>
    <row r="153" spans="1:8">
      <c r="A153" s="2">
        <v>45530</v>
      </c>
      <c r="B153" s="4">
        <v>1438</v>
      </c>
      <c r="C153" s="4">
        <v>1459.3</v>
      </c>
      <c r="D153" s="4">
        <v>1422.1</v>
      </c>
      <c r="E153" s="4">
        <v>1428.35</v>
      </c>
      <c r="F153" s="4">
        <v>1454.75</v>
      </c>
      <c r="H153" s="10">
        <f t="shared" si="2"/>
        <v>1.8482864844050893E-2</v>
      </c>
    </row>
    <row r="154" spans="1:8">
      <c r="A154" s="2">
        <v>45527</v>
      </c>
      <c r="B154" s="4">
        <v>1444</v>
      </c>
      <c r="C154" s="4">
        <v>1446</v>
      </c>
      <c r="D154" s="4">
        <v>1424.8</v>
      </c>
      <c r="E154" s="4">
        <v>1440.3</v>
      </c>
      <c r="F154" s="4">
        <v>1428.35</v>
      </c>
      <c r="H154" s="10">
        <f t="shared" si="2"/>
        <v>-8.2968825939040789E-3</v>
      </c>
    </row>
    <row r="155" spans="1:8">
      <c r="A155" s="2">
        <v>45526</v>
      </c>
      <c r="B155" s="4">
        <v>1404</v>
      </c>
      <c r="C155" s="4">
        <v>1444.5</v>
      </c>
      <c r="D155" s="4">
        <v>1391.5</v>
      </c>
      <c r="E155" s="4">
        <v>1391.25</v>
      </c>
      <c r="F155" s="4">
        <v>1440.3</v>
      </c>
      <c r="H155" s="10">
        <f t="shared" si="2"/>
        <v>3.5256064690026921E-2</v>
      </c>
    </row>
    <row r="156" spans="1:8">
      <c r="A156" s="2">
        <v>45525</v>
      </c>
      <c r="B156" s="4">
        <v>1394</v>
      </c>
      <c r="C156" s="4">
        <v>1404.35</v>
      </c>
      <c r="D156" s="4">
        <v>1388</v>
      </c>
      <c r="E156" s="4">
        <v>1394</v>
      </c>
      <c r="F156" s="4">
        <v>1391.25</v>
      </c>
      <c r="H156" s="10">
        <f t="shared" si="2"/>
        <v>-1.9727403156384504E-3</v>
      </c>
    </row>
    <row r="157" spans="1:8">
      <c r="A157" s="2">
        <v>45524</v>
      </c>
      <c r="B157" s="4">
        <v>1404</v>
      </c>
      <c r="C157" s="4">
        <v>1412.9</v>
      </c>
      <c r="D157" s="4">
        <v>1378.55</v>
      </c>
      <c r="E157" s="4">
        <v>1403.65</v>
      </c>
      <c r="F157" s="4">
        <v>1394</v>
      </c>
      <c r="H157" s="10">
        <f t="shared" si="2"/>
        <v>-6.8749332098458236E-3</v>
      </c>
    </row>
    <row r="158" spans="1:8">
      <c r="A158" s="2">
        <v>45523</v>
      </c>
      <c r="B158" s="4">
        <v>1411.95</v>
      </c>
      <c r="C158" s="4">
        <v>1413.55</v>
      </c>
      <c r="D158" s="4">
        <v>1386.05</v>
      </c>
      <c r="E158" s="4">
        <v>1405.05</v>
      </c>
      <c r="F158" s="4">
        <v>1403.65</v>
      </c>
      <c r="H158" s="10">
        <f t="shared" si="2"/>
        <v>-9.9640582185677633E-4</v>
      </c>
    </row>
    <row r="159" spans="1:8">
      <c r="A159" s="2">
        <v>45520</v>
      </c>
      <c r="B159" s="4">
        <v>1365</v>
      </c>
      <c r="C159" s="4">
        <v>1408.95</v>
      </c>
      <c r="D159" s="4">
        <v>1360.65</v>
      </c>
      <c r="E159" s="4">
        <v>1371.1</v>
      </c>
      <c r="F159" s="4">
        <v>1405.05</v>
      </c>
      <c r="H159" s="10">
        <f t="shared" si="2"/>
        <v>2.4761140689957002E-2</v>
      </c>
    </row>
    <row r="160" spans="1:8">
      <c r="A160" s="2">
        <v>45518</v>
      </c>
      <c r="B160" s="4">
        <v>1388.95</v>
      </c>
      <c r="C160" s="4">
        <v>1392.7</v>
      </c>
      <c r="D160" s="4">
        <v>1358.15</v>
      </c>
      <c r="E160" s="4">
        <v>1388.5</v>
      </c>
      <c r="F160" s="4">
        <v>1371.1</v>
      </c>
      <c r="H160" s="10">
        <f t="shared" si="2"/>
        <v>-1.2531508822470358E-2</v>
      </c>
    </row>
    <row r="161" spans="1:8">
      <c r="A161" s="2">
        <v>45517</v>
      </c>
      <c r="B161" s="4">
        <v>1397</v>
      </c>
      <c r="C161" s="4">
        <v>1401.95</v>
      </c>
      <c r="D161" s="4">
        <v>1382.5</v>
      </c>
      <c r="E161" s="4">
        <v>1392.6</v>
      </c>
      <c r="F161" s="4">
        <v>1388.5</v>
      </c>
      <c r="H161" s="10">
        <f t="shared" si="2"/>
        <v>-2.9441332758867651E-3</v>
      </c>
    </row>
    <row r="162" spans="1:8">
      <c r="A162" s="2">
        <v>45516</v>
      </c>
      <c r="B162" s="4">
        <v>1444.8</v>
      </c>
      <c r="C162" s="4">
        <v>1445</v>
      </c>
      <c r="D162" s="4">
        <v>1390</v>
      </c>
      <c r="E162" s="4">
        <v>1444.8</v>
      </c>
      <c r="F162" s="4">
        <v>1392.6</v>
      </c>
      <c r="H162" s="10">
        <f t="shared" si="2"/>
        <v>-3.6129568106312328E-2</v>
      </c>
    </row>
    <row r="163" spans="1:8">
      <c r="A163" s="2">
        <v>45513</v>
      </c>
      <c r="B163" s="4">
        <v>1475.9</v>
      </c>
      <c r="C163" s="4">
        <v>1475.9</v>
      </c>
      <c r="D163" s="4">
        <v>1442.05</v>
      </c>
      <c r="E163" s="4">
        <v>1463.9</v>
      </c>
      <c r="F163" s="4">
        <v>1444.8</v>
      </c>
      <c r="H163" s="10">
        <f t="shared" si="2"/>
        <v>-1.3047339299132547E-2</v>
      </c>
    </row>
    <row r="164" spans="1:8">
      <c r="A164" s="2">
        <v>45512</v>
      </c>
      <c r="B164" s="4">
        <v>1503.8</v>
      </c>
      <c r="C164" s="4">
        <v>1504.95</v>
      </c>
      <c r="D164" s="4">
        <v>1432.05</v>
      </c>
      <c r="E164" s="4">
        <v>1503.8</v>
      </c>
      <c r="F164" s="4">
        <v>1463.9</v>
      </c>
      <c r="H164" s="10">
        <f t="shared" si="2"/>
        <v>-2.653278361484231E-2</v>
      </c>
    </row>
    <row r="165" spans="1:8">
      <c r="A165" s="2">
        <v>45511</v>
      </c>
      <c r="B165" s="4">
        <v>1494.45</v>
      </c>
      <c r="C165" s="4">
        <v>1509</v>
      </c>
      <c r="D165" s="4">
        <v>1482.5</v>
      </c>
      <c r="E165" s="4">
        <v>1478.6</v>
      </c>
      <c r="F165" s="4">
        <v>1503.8</v>
      </c>
      <c r="H165" s="10">
        <f t="shared" si="2"/>
        <v>1.7043148924658493E-2</v>
      </c>
    </row>
    <row r="166" spans="1:8">
      <c r="A166" s="2">
        <v>45510</v>
      </c>
      <c r="B166" s="4">
        <v>1467.2</v>
      </c>
      <c r="C166" s="4">
        <v>1498.85</v>
      </c>
      <c r="D166" s="4">
        <v>1460.25</v>
      </c>
      <c r="E166" s="4">
        <v>1462.15</v>
      </c>
      <c r="F166" s="4">
        <v>1478.6</v>
      </c>
      <c r="H166" s="10">
        <f t="shared" si="2"/>
        <v>1.1250555688540722E-2</v>
      </c>
    </row>
    <row r="167" spans="1:8">
      <c r="A167" s="2">
        <v>45509</v>
      </c>
      <c r="B167" s="4">
        <v>1426.5</v>
      </c>
      <c r="C167" s="4">
        <v>1479.95</v>
      </c>
      <c r="D167" s="4">
        <v>1426.5</v>
      </c>
      <c r="E167" s="4">
        <v>1459.15</v>
      </c>
      <c r="F167" s="4">
        <v>1462.15</v>
      </c>
      <c r="H167" s="10">
        <f t="shared" si="2"/>
        <v>2.0559915019017919E-3</v>
      </c>
    </row>
    <row r="168" spans="1:8">
      <c r="A168" s="2">
        <v>45506</v>
      </c>
      <c r="B168" s="4">
        <v>1467.5</v>
      </c>
      <c r="C168" s="4">
        <v>1490.95</v>
      </c>
      <c r="D168" s="4">
        <v>1447.2</v>
      </c>
      <c r="E168" s="4">
        <v>1470.25</v>
      </c>
      <c r="F168" s="4">
        <v>1459.15</v>
      </c>
      <c r="H168" s="10">
        <f t="shared" si="2"/>
        <v>-7.5497364393809956E-3</v>
      </c>
    </row>
    <row r="169" spans="1:8">
      <c r="A169" s="2">
        <v>45505</v>
      </c>
      <c r="B169" s="4">
        <v>1441.45</v>
      </c>
      <c r="C169" s="4">
        <v>1485</v>
      </c>
      <c r="D169" s="4">
        <v>1436.25</v>
      </c>
      <c r="E169" s="4">
        <v>1440.75</v>
      </c>
      <c r="F169" s="4">
        <v>1470.25</v>
      </c>
      <c r="H169" s="10">
        <f t="shared" si="2"/>
        <v>2.0475446815894499E-2</v>
      </c>
    </row>
    <row r="170" spans="1:8">
      <c r="A170" s="2">
        <v>45504</v>
      </c>
      <c r="B170" s="4">
        <v>1448</v>
      </c>
      <c r="C170" s="4">
        <v>1452.45</v>
      </c>
      <c r="D170" s="4">
        <v>1433.7</v>
      </c>
      <c r="E170" s="4">
        <v>1439.8</v>
      </c>
      <c r="F170" s="4">
        <v>1440.75</v>
      </c>
      <c r="H170" s="10">
        <f t="shared" si="2"/>
        <v>6.598138630365645E-4</v>
      </c>
    </row>
    <row r="171" spans="1:8">
      <c r="A171" s="2">
        <v>45503</v>
      </c>
      <c r="B171" s="4">
        <v>1477</v>
      </c>
      <c r="C171" s="4">
        <v>1477.9</v>
      </c>
      <c r="D171" s="4">
        <v>1437.25</v>
      </c>
      <c r="E171" s="4">
        <v>1477.9</v>
      </c>
      <c r="F171" s="4">
        <v>1439.8</v>
      </c>
      <c r="H171" s="10">
        <f t="shared" si="2"/>
        <v>-2.5779822721429146E-2</v>
      </c>
    </row>
    <row r="172" spans="1:8">
      <c r="A172" s="2">
        <v>45502</v>
      </c>
      <c r="B172" s="4">
        <v>1474.9</v>
      </c>
      <c r="C172" s="4">
        <v>1505</v>
      </c>
      <c r="D172" s="4">
        <v>1428.7</v>
      </c>
      <c r="E172" s="4">
        <v>1467.5</v>
      </c>
      <c r="F172" s="4">
        <v>1477.9</v>
      </c>
      <c r="H172" s="10">
        <f t="shared" si="2"/>
        <v>7.0868824531516803E-3</v>
      </c>
    </row>
    <row r="173" spans="1:8">
      <c r="A173" s="2">
        <v>45499</v>
      </c>
      <c r="B173" s="4">
        <v>1480.1</v>
      </c>
      <c r="C173" s="4">
        <v>1480.1</v>
      </c>
      <c r="D173" s="4">
        <v>1461.1</v>
      </c>
      <c r="E173" s="4">
        <v>1480.1</v>
      </c>
      <c r="F173" s="4">
        <v>1467.5</v>
      </c>
      <c r="H173" s="10">
        <f t="shared" si="2"/>
        <v>-8.5129383149786571E-3</v>
      </c>
    </row>
    <row r="174" spans="1:8">
      <c r="A174" s="2">
        <v>45498</v>
      </c>
      <c r="B174" s="4">
        <v>1447.1</v>
      </c>
      <c r="C174" s="4">
        <v>1485.5</v>
      </c>
      <c r="D174" s="4">
        <v>1443.15</v>
      </c>
      <c r="E174" s="4">
        <v>1459.05</v>
      </c>
      <c r="F174" s="4">
        <v>1480.1</v>
      </c>
      <c r="H174" s="10">
        <f t="shared" si="2"/>
        <v>1.4427195778074744E-2</v>
      </c>
    </row>
    <row r="175" spans="1:8">
      <c r="A175" s="2">
        <v>45497</v>
      </c>
      <c r="B175" s="4">
        <v>1516.7</v>
      </c>
      <c r="C175" s="4">
        <v>1519.85</v>
      </c>
      <c r="D175" s="4">
        <v>1454</v>
      </c>
      <c r="E175" s="4">
        <v>1516.7</v>
      </c>
      <c r="F175" s="4">
        <v>1459.05</v>
      </c>
      <c r="H175" s="10">
        <f t="shared" si="2"/>
        <v>-3.8010153622997353E-2</v>
      </c>
    </row>
    <row r="176" spans="1:8">
      <c r="A176" s="2">
        <v>45496</v>
      </c>
      <c r="B176" s="4">
        <v>1469</v>
      </c>
      <c r="C176" s="4">
        <v>1525</v>
      </c>
      <c r="D176" s="4">
        <v>1458.3</v>
      </c>
      <c r="E176" s="4">
        <v>1470.15</v>
      </c>
      <c r="F176" s="4">
        <v>1516.7</v>
      </c>
      <c r="H176" s="10">
        <f t="shared" si="2"/>
        <v>3.1663435703839712E-2</v>
      </c>
    </row>
    <row r="177" spans="1:8">
      <c r="A177" s="2">
        <v>45495</v>
      </c>
      <c r="B177" s="4">
        <v>1451.85</v>
      </c>
      <c r="C177" s="4">
        <v>1478.2</v>
      </c>
      <c r="D177" s="4">
        <v>1440.75</v>
      </c>
      <c r="E177" s="4">
        <v>1451.9</v>
      </c>
      <c r="F177" s="4">
        <v>1470.15</v>
      </c>
      <c r="H177" s="10">
        <f t="shared" si="2"/>
        <v>1.2569736207727803E-2</v>
      </c>
    </row>
    <row r="178" spans="1:8">
      <c r="A178" s="2">
        <v>45492</v>
      </c>
      <c r="B178" s="4">
        <v>1466</v>
      </c>
      <c r="C178" s="4">
        <v>1476.95</v>
      </c>
      <c r="D178" s="4">
        <v>1435.95</v>
      </c>
      <c r="E178" s="4">
        <v>1465.25</v>
      </c>
      <c r="F178" s="4">
        <v>1451.9</v>
      </c>
      <c r="H178" s="10">
        <f t="shared" si="2"/>
        <v>-9.11107319570033E-3</v>
      </c>
    </row>
    <row r="179" spans="1:8">
      <c r="A179" s="2">
        <v>45491</v>
      </c>
      <c r="B179" s="4">
        <v>1440</v>
      </c>
      <c r="C179" s="4">
        <v>1470.75</v>
      </c>
      <c r="D179" s="4">
        <v>1440</v>
      </c>
      <c r="E179" s="4">
        <v>1452.75</v>
      </c>
      <c r="F179" s="4">
        <v>1465.25</v>
      </c>
      <c r="H179" s="10">
        <f t="shared" si="2"/>
        <v>8.6043710204784032E-3</v>
      </c>
    </row>
    <row r="180" spans="1:8">
      <c r="A180" s="2">
        <v>45489</v>
      </c>
      <c r="B180" s="4">
        <v>1439.95</v>
      </c>
      <c r="C180" s="4">
        <v>1472</v>
      </c>
      <c r="D180" s="4">
        <v>1434.5</v>
      </c>
      <c r="E180" s="4">
        <v>1436.7</v>
      </c>
      <c r="F180" s="4">
        <v>1452.75</v>
      </c>
      <c r="H180" s="10">
        <f t="shared" si="2"/>
        <v>1.1171434537481697E-2</v>
      </c>
    </row>
    <row r="181" spans="1:8">
      <c r="A181" s="2">
        <v>45488</v>
      </c>
      <c r="B181" s="4">
        <v>1449.95</v>
      </c>
      <c r="C181" s="4">
        <v>1459.7</v>
      </c>
      <c r="D181" s="4">
        <v>1434.1</v>
      </c>
      <c r="E181" s="4">
        <v>1443.9</v>
      </c>
      <c r="F181" s="4">
        <v>1436.7</v>
      </c>
      <c r="H181" s="10">
        <f t="shared" si="2"/>
        <v>-4.9864949096198111E-3</v>
      </c>
    </row>
    <row r="182" spans="1:8">
      <c r="A182" s="2">
        <v>45485</v>
      </c>
      <c r="B182" s="4">
        <v>1448.75</v>
      </c>
      <c r="C182" s="4">
        <v>1458.5</v>
      </c>
      <c r="D182" s="4">
        <v>1437.05</v>
      </c>
      <c r="E182" s="4">
        <v>1440.9</v>
      </c>
      <c r="F182" s="4">
        <v>1443.9</v>
      </c>
      <c r="H182" s="10">
        <f t="shared" si="2"/>
        <v>2.0820320632937745E-3</v>
      </c>
    </row>
    <row r="183" spans="1:8">
      <c r="A183" s="2">
        <v>45484</v>
      </c>
      <c r="B183" s="4">
        <v>1450.6</v>
      </c>
      <c r="C183" s="4">
        <v>1455</v>
      </c>
      <c r="D183" s="4">
        <v>1433.55</v>
      </c>
      <c r="E183" s="4">
        <v>1444.1</v>
      </c>
      <c r="F183" s="4">
        <v>1440.9</v>
      </c>
      <c r="H183" s="10">
        <f t="shared" si="2"/>
        <v>-2.2159130254136268E-3</v>
      </c>
    </row>
    <row r="184" spans="1:8">
      <c r="A184" s="2">
        <v>45483</v>
      </c>
      <c r="B184" s="4">
        <v>1400</v>
      </c>
      <c r="C184" s="4">
        <v>1454.95</v>
      </c>
      <c r="D184" s="4">
        <v>1399.95</v>
      </c>
      <c r="E184" s="4">
        <v>1412.15</v>
      </c>
      <c r="F184" s="4">
        <v>1444.1</v>
      </c>
      <c r="H184" s="10">
        <f t="shared" si="2"/>
        <v>2.2625075239882317E-2</v>
      </c>
    </row>
    <row r="185" spans="1:8">
      <c r="A185" s="2">
        <v>45482</v>
      </c>
      <c r="B185" s="4">
        <v>1441</v>
      </c>
      <c r="C185" s="4">
        <v>1441</v>
      </c>
      <c r="D185" s="4">
        <v>1388</v>
      </c>
      <c r="E185" s="4">
        <v>1426</v>
      </c>
      <c r="F185" s="4">
        <v>1412.15</v>
      </c>
      <c r="H185" s="10">
        <f t="shared" si="2"/>
        <v>-9.7124824684431347E-3</v>
      </c>
    </row>
    <row r="186" spans="1:8">
      <c r="A186" s="2">
        <v>45481</v>
      </c>
      <c r="B186" s="4">
        <v>1380.45</v>
      </c>
      <c r="C186" s="4">
        <v>1439.7</v>
      </c>
      <c r="D186" s="4">
        <v>1372.3</v>
      </c>
      <c r="E186" s="4">
        <v>1373.8</v>
      </c>
      <c r="F186" s="4">
        <v>1426</v>
      </c>
      <c r="H186" s="10">
        <f t="shared" si="2"/>
        <v>3.7996797204833344E-2</v>
      </c>
    </row>
    <row r="187" spans="1:8">
      <c r="A187" s="2">
        <v>45478</v>
      </c>
      <c r="B187" s="4">
        <v>1367.85</v>
      </c>
      <c r="C187" s="4">
        <v>1378.7</v>
      </c>
      <c r="D187" s="4">
        <v>1360</v>
      </c>
      <c r="E187" s="4">
        <v>1363.85</v>
      </c>
      <c r="F187" s="4">
        <v>1373.8</v>
      </c>
      <c r="H187" s="10">
        <f t="shared" si="2"/>
        <v>7.2955237012868324E-3</v>
      </c>
    </row>
    <row r="188" spans="1:8">
      <c r="A188" s="2">
        <v>45477</v>
      </c>
      <c r="B188" s="4">
        <v>1371.9</v>
      </c>
      <c r="C188" s="4">
        <v>1382.95</v>
      </c>
      <c r="D188" s="4">
        <v>1360.25</v>
      </c>
      <c r="E188" s="4">
        <v>1368</v>
      </c>
      <c r="F188" s="4">
        <v>1363.85</v>
      </c>
      <c r="H188" s="10">
        <f t="shared" si="2"/>
        <v>-3.0336257309942186E-3</v>
      </c>
    </row>
    <row r="189" spans="1:8">
      <c r="A189" s="2">
        <v>45476</v>
      </c>
      <c r="B189" s="4">
        <v>1390</v>
      </c>
      <c r="C189" s="4">
        <v>1390.45</v>
      </c>
      <c r="D189" s="4">
        <v>1359.2</v>
      </c>
      <c r="E189" s="4">
        <v>1371.15</v>
      </c>
      <c r="F189" s="4">
        <v>1368</v>
      </c>
      <c r="H189" s="10">
        <f t="shared" si="2"/>
        <v>-2.2973416475222191E-3</v>
      </c>
    </row>
    <row r="190" spans="1:8">
      <c r="A190" s="2">
        <v>45475</v>
      </c>
      <c r="B190" s="4">
        <v>1419.75</v>
      </c>
      <c r="C190" s="4">
        <v>1419.75</v>
      </c>
      <c r="D190" s="4">
        <v>1365.3</v>
      </c>
      <c r="E190" s="4">
        <v>1398.05</v>
      </c>
      <c r="F190" s="4">
        <v>1371.15</v>
      </c>
      <c r="H190" s="10">
        <f t="shared" si="2"/>
        <v>-1.9241085798075794E-2</v>
      </c>
    </row>
    <row r="191" spans="1:8">
      <c r="A191" s="2">
        <v>45474</v>
      </c>
      <c r="B191" s="4">
        <v>1375.85</v>
      </c>
      <c r="C191" s="4">
        <v>1402</v>
      </c>
      <c r="D191" s="4">
        <v>1370.25</v>
      </c>
      <c r="E191" s="4">
        <v>1375.85</v>
      </c>
      <c r="F191" s="4">
        <v>1398.05</v>
      </c>
      <c r="H191" s="10">
        <f t="shared" si="2"/>
        <v>1.6135479885161935E-2</v>
      </c>
    </row>
    <row r="192" spans="1:8">
      <c r="A192" s="2">
        <v>45471</v>
      </c>
      <c r="B192" s="4">
        <v>1366</v>
      </c>
      <c r="C192" s="4">
        <v>1382.15</v>
      </c>
      <c r="D192" s="4">
        <v>1358.95</v>
      </c>
      <c r="E192" s="4">
        <v>1362</v>
      </c>
      <c r="F192" s="4">
        <v>1375.85</v>
      </c>
      <c r="H192" s="10">
        <f t="shared" si="2"/>
        <v>1.0168869309838405E-2</v>
      </c>
    </row>
    <row r="193" spans="1:8">
      <c r="A193" s="2">
        <v>45470</v>
      </c>
      <c r="B193" s="4">
        <v>1398.05</v>
      </c>
      <c r="C193" s="4">
        <v>1409.7</v>
      </c>
      <c r="D193" s="4">
        <v>1355.95</v>
      </c>
      <c r="E193" s="4">
        <v>1414.25</v>
      </c>
      <c r="F193" s="4">
        <v>1362</v>
      </c>
      <c r="H193" s="10">
        <f t="shared" si="2"/>
        <v>-3.694537740852042E-2</v>
      </c>
    </row>
    <row r="194" spans="1:8">
      <c r="A194" s="2">
        <v>45469</v>
      </c>
      <c r="B194" s="4">
        <v>1375.5</v>
      </c>
      <c r="C194" s="4">
        <v>1429.85</v>
      </c>
      <c r="D194" s="4">
        <v>1370.25</v>
      </c>
      <c r="E194" s="4">
        <v>1375.5</v>
      </c>
      <c r="F194" s="4">
        <v>1414.25</v>
      </c>
      <c r="H194" s="10">
        <f t="shared" si="2"/>
        <v>2.8171573973100692E-2</v>
      </c>
    </row>
    <row r="195" spans="1:8">
      <c r="A195" s="2">
        <v>45468</v>
      </c>
      <c r="B195" s="4">
        <v>1386</v>
      </c>
      <c r="C195" s="4">
        <v>1386</v>
      </c>
      <c r="D195" s="4">
        <v>1365.75</v>
      </c>
      <c r="E195" s="4">
        <v>1380.8</v>
      </c>
      <c r="F195" s="4">
        <v>1375.5</v>
      </c>
      <c r="H195" s="10">
        <f t="shared" si="2"/>
        <v>-3.8383545770567457E-3</v>
      </c>
    </row>
    <row r="196" spans="1:8">
      <c r="A196" s="2">
        <v>45467</v>
      </c>
      <c r="B196" s="4">
        <v>1356.4</v>
      </c>
      <c r="C196" s="4">
        <v>1387.05</v>
      </c>
      <c r="D196" s="4">
        <v>1319.4</v>
      </c>
      <c r="E196" s="4">
        <v>1356.85</v>
      </c>
      <c r="F196" s="4">
        <v>1380.8</v>
      </c>
      <c r="H196" s="10">
        <f t="shared" si="2"/>
        <v>1.7651177359324942E-2</v>
      </c>
    </row>
    <row r="197" spans="1:8">
      <c r="A197" s="2">
        <v>45464</v>
      </c>
      <c r="B197" s="4">
        <v>1369</v>
      </c>
      <c r="C197" s="4">
        <v>1376.25</v>
      </c>
      <c r="D197" s="4">
        <v>1353</v>
      </c>
      <c r="E197" s="4">
        <v>1361.05</v>
      </c>
      <c r="F197" s="4">
        <v>1356.85</v>
      </c>
      <c r="H197" s="10">
        <f t="shared" ref="H197:H252" si="3">(F197-E197)/E197</f>
        <v>-3.0858528342089164E-3</v>
      </c>
    </row>
    <row r="198" spans="1:8">
      <c r="A198" s="2">
        <v>45463</v>
      </c>
      <c r="B198" s="4">
        <v>1391.8</v>
      </c>
      <c r="C198" s="4">
        <v>1396.95</v>
      </c>
      <c r="D198" s="4">
        <v>1356</v>
      </c>
      <c r="E198" s="4">
        <v>1391.8</v>
      </c>
      <c r="F198" s="4">
        <v>1361.05</v>
      </c>
      <c r="H198" s="10">
        <f t="shared" si="3"/>
        <v>-2.2093691622359534E-2</v>
      </c>
    </row>
    <row r="199" spans="1:8">
      <c r="A199" s="2">
        <v>45462</v>
      </c>
      <c r="B199" s="4">
        <v>1410</v>
      </c>
      <c r="C199" s="4">
        <v>1410.75</v>
      </c>
      <c r="D199" s="4">
        <v>1386.8</v>
      </c>
      <c r="E199" s="4">
        <v>1403.65</v>
      </c>
      <c r="F199" s="4">
        <v>1391.8</v>
      </c>
      <c r="H199" s="10">
        <f t="shared" si="3"/>
        <v>-8.4422754960283095E-3</v>
      </c>
    </row>
    <row r="200" spans="1:8">
      <c r="A200" s="2">
        <v>45461</v>
      </c>
      <c r="B200" s="4">
        <v>1392.95</v>
      </c>
      <c r="C200" s="4">
        <v>1409</v>
      </c>
      <c r="D200" s="4">
        <v>1380.45</v>
      </c>
      <c r="E200" s="4">
        <v>1392.95</v>
      </c>
      <c r="F200" s="4">
        <v>1403.65</v>
      </c>
      <c r="H200" s="10">
        <f t="shared" si="3"/>
        <v>7.6815391794393516E-3</v>
      </c>
    </row>
    <row r="201" spans="1:8">
      <c r="A201" s="2">
        <v>45457</v>
      </c>
      <c r="B201" s="4">
        <v>1409.3</v>
      </c>
      <c r="C201" s="4">
        <v>1419.2</v>
      </c>
      <c r="D201" s="4">
        <v>1389.8</v>
      </c>
      <c r="E201" s="4">
        <v>1409.3</v>
      </c>
      <c r="F201" s="4">
        <v>1392.95</v>
      </c>
      <c r="H201" s="10">
        <f t="shared" si="3"/>
        <v>-1.160150429291131E-2</v>
      </c>
    </row>
    <row r="202" spans="1:8">
      <c r="A202" s="2">
        <v>45456</v>
      </c>
      <c r="B202" s="4">
        <v>1406.05</v>
      </c>
      <c r="C202" s="4">
        <v>1412.6</v>
      </c>
      <c r="D202" s="4">
        <v>1390</v>
      </c>
      <c r="E202" s="4">
        <v>1416.8</v>
      </c>
      <c r="F202" s="4">
        <v>1409.3</v>
      </c>
      <c r="H202" s="10">
        <f t="shared" si="3"/>
        <v>-5.293619424054207E-3</v>
      </c>
    </row>
    <row r="203" spans="1:8">
      <c r="A203" s="2">
        <v>45455</v>
      </c>
      <c r="B203" s="4">
        <v>1442.15</v>
      </c>
      <c r="C203" s="4">
        <v>1443</v>
      </c>
      <c r="D203" s="4">
        <v>1403.05</v>
      </c>
      <c r="E203" s="4">
        <v>1429.2</v>
      </c>
      <c r="F203" s="4">
        <v>1416.8</v>
      </c>
      <c r="H203" s="10">
        <f t="shared" si="3"/>
        <v>-8.6761824797089906E-3</v>
      </c>
    </row>
    <row r="204" spans="1:8">
      <c r="A204" s="2">
        <v>45454</v>
      </c>
      <c r="B204" s="4">
        <v>1423.05</v>
      </c>
      <c r="C204" s="4">
        <v>1443.25</v>
      </c>
      <c r="D204" s="4">
        <v>1420.05</v>
      </c>
      <c r="E204" s="4">
        <v>1423.05</v>
      </c>
      <c r="F204" s="4">
        <v>1429.2</v>
      </c>
      <c r="H204" s="10">
        <f t="shared" si="3"/>
        <v>4.3217033835775912E-3</v>
      </c>
    </row>
    <row r="205" spans="1:8">
      <c r="A205" s="2">
        <v>45453</v>
      </c>
      <c r="B205" s="4">
        <v>1430</v>
      </c>
      <c r="C205" s="4">
        <v>1447.8</v>
      </c>
      <c r="D205" s="4">
        <v>1409.55</v>
      </c>
      <c r="E205" s="4">
        <v>1427.9</v>
      </c>
      <c r="F205" s="4">
        <v>1423.05</v>
      </c>
      <c r="H205" s="10">
        <f t="shared" si="3"/>
        <v>-3.3965964003082401E-3</v>
      </c>
    </row>
    <row r="206" spans="1:8">
      <c r="A206" s="2">
        <v>45450</v>
      </c>
      <c r="B206" s="4">
        <v>1402.15</v>
      </c>
      <c r="C206" s="4">
        <v>1462.4</v>
      </c>
      <c r="D206" s="4">
        <v>1391.55</v>
      </c>
      <c r="E206" s="4">
        <v>1402.15</v>
      </c>
      <c r="F206" s="4">
        <v>1427.9</v>
      </c>
      <c r="H206" s="10">
        <f t="shared" si="3"/>
        <v>1.8364654280925721E-2</v>
      </c>
    </row>
    <row r="207" spans="1:8">
      <c r="A207" s="2">
        <v>45449</v>
      </c>
      <c r="B207" s="4">
        <v>1427</v>
      </c>
      <c r="C207" s="4">
        <v>1427.25</v>
      </c>
      <c r="D207" s="4">
        <v>1376</v>
      </c>
      <c r="E207" s="4">
        <v>1426.8</v>
      </c>
      <c r="F207" s="4">
        <v>1402.15</v>
      </c>
      <c r="H207" s="10">
        <f t="shared" si="3"/>
        <v>-1.7276422764227549E-2</v>
      </c>
    </row>
    <row r="208" spans="1:8">
      <c r="A208" s="2">
        <v>45448</v>
      </c>
      <c r="B208" s="4">
        <v>1367.9</v>
      </c>
      <c r="C208" s="4">
        <v>1467.1</v>
      </c>
      <c r="D208" s="4">
        <v>1353.05</v>
      </c>
      <c r="E208" s="4">
        <v>1348.45</v>
      </c>
      <c r="F208" s="4">
        <v>1426.8</v>
      </c>
      <c r="H208" s="10">
        <f t="shared" si="3"/>
        <v>5.8103748748563097E-2</v>
      </c>
    </row>
    <row r="209" spans="1:8">
      <c r="A209" s="2">
        <v>45447</v>
      </c>
      <c r="B209" s="4">
        <v>1318</v>
      </c>
      <c r="C209" s="4">
        <v>1357.6</v>
      </c>
      <c r="D209" s="4">
        <v>1251.7</v>
      </c>
      <c r="E209" s="4">
        <v>1306.5</v>
      </c>
      <c r="F209" s="4">
        <v>1348.45</v>
      </c>
      <c r="H209" s="10">
        <f t="shared" si="3"/>
        <v>3.2108687332567963E-2</v>
      </c>
    </row>
    <row r="210" spans="1:8">
      <c r="A210" s="2">
        <v>45446</v>
      </c>
      <c r="B210" s="4">
        <v>1295.95</v>
      </c>
      <c r="C210" s="4">
        <v>1316.05</v>
      </c>
      <c r="D210" s="4">
        <v>1281.8</v>
      </c>
      <c r="E210" s="4">
        <v>1270.3499999999999</v>
      </c>
      <c r="F210" s="4">
        <v>1306.5</v>
      </c>
      <c r="H210" s="10">
        <f t="shared" si="3"/>
        <v>2.845672452473735E-2</v>
      </c>
    </row>
    <row r="211" spans="1:8">
      <c r="A211" s="2">
        <v>45443</v>
      </c>
      <c r="B211" s="4">
        <v>1289.8</v>
      </c>
      <c r="C211" s="4">
        <v>1289.8</v>
      </c>
      <c r="D211" s="4">
        <v>1259.25</v>
      </c>
      <c r="E211" s="4">
        <v>1273.95</v>
      </c>
      <c r="F211" s="4">
        <v>1270.3499999999999</v>
      </c>
      <c r="H211" s="10">
        <f t="shared" si="3"/>
        <v>-2.8258565877782773E-3</v>
      </c>
    </row>
    <row r="212" spans="1:8">
      <c r="A212" s="2">
        <v>45442</v>
      </c>
      <c r="B212" s="4">
        <v>1299.3</v>
      </c>
      <c r="C212" s="4">
        <v>1303.2</v>
      </c>
      <c r="D212" s="4">
        <v>1266.4000000000001</v>
      </c>
      <c r="E212" s="4">
        <v>1299.5999999999999</v>
      </c>
      <c r="F212" s="4">
        <v>1273.95</v>
      </c>
      <c r="H212" s="10">
        <f t="shared" si="3"/>
        <v>-1.9736842105263053E-2</v>
      </c>
    </row>
    <row r="213" spans="1:8">
      <c r="A213" s="2">
        <v>45441</v>
      </c>
      <c r="B213" s="4">
        <v>1311</v>
      </c>
      <c r="C213" s="4">
        <v>1324.95</v>
      </c>
      <c r="D213" s="4">
        <v>1293.55</v>
      </c>
      <c r="E213" s="4">
        <v>1331</v>
      </c>
      <c r="F213" s="4">
        <v>1299.5999999999999</v>
      </c>
      <c r="H213" s="10">
        <f t="shared" si="3"/>
        <v>-2.3591284748309609E-2</v>
      </c>
    </row>
    <row r="214" spans="1:8">
      <c r="A214" s="2">
        <v>45440</v>
      </c>
      <c r="B214" s="4">
        <v>1334.95</v>
      </c>
      <c r="C214" s="4">
        <v>1344.25</v>
      </c>
      <c r="D214" s="4">
        <v>1323.75</v>
      </c>
      <c r="E214" s="4">
        <v>1328.95</v>
      </c>
      <c r="F214" s="4">
        <v>1331</v>
      </c>
      <c r="H214" s="10">
        <f t="shared" si="3"/>
        <v>1.542571202829267E-3</v>
      </c>
    </row>
    <row r="215" spans="1:8">
      <c r="A215" s="2">
        <v>45439</v>
      </c>
      <c r="B215" s="4">
        <v>1310.4000000000001</v>
      </c>
      <c r="C215" s="4">
        <v>1335.9</v>
      </c>
      <c r="D215" s="4">
        <v>1310.4000000000001</v>
      </c>
      <c r="E215" s="4">
        <v>1310.3499999999999</v>
      </c>
      <c r="F215" s="4">
        <v>1328.95</v>
      </c>
      <c r="H215" s="10">
        <f t="shared" si="3"/>
        <v>1.4194680810470589E-2</v>
      </c>
    </row>
    <row r="216" spans="1:8">
      <c r="A216" s="2">
        <v>45436</v>
      </c>
      <c r="B216" s="4">
        <v>1326.45</v>
      </c>
      <c r="C216" s="4">
        <v>1326.45</v>
      </c>
      <c r="D216" s="4">
        <v>1298.5999999999999</v>
      </c>
      <c r="E216" s="4">
        <v>1320.05</v>
      </c>
      <c r="F216" s="4">
        <v>1310.3499999999999</v>
      </c>
      <c r="H216" s="10">
        <f t="shared" si="3"/>
        <v>-7.3482065073293022E-3</v>
      </c>
    </row>
    <row r="217" spans="1:8">
      <c r="A217" s="2">
        <v>45435</v>
      </c>
      <c r="B217" s="4">
        <v>1314.1</v>
      </c>
      <c r="C217" s="4">
        <v>1329</v>
      </c>
      <c r="D217" s="4">
        <v>1293.0999999999999</v>
      </c>
      <c r="E217" s="4">
        <v>1305.6500000000001</v>
      </c>
      <c r="F217" s="4">
        <v>1320.05</v>
      </c>
      <c r="H217" s="10">
        <f t="shared" si="3"/>
        <v>1.1028989392256626E-2</v>
      </c>
    </row>
    <row r="218" spans="1:8">
      <c r="A218" s="2">
        <v>45434</v>
      </c>
      <c r="B218" s="4">
        <v>1290</v>
      </c>
      <c r="C218" s="4">
        <v>1327.45</v>
      </c>
      <c r="D218" s="4">
        <v>1283.7</v>
      </c>
      <c r="E218" s="4">
        <v>1282.9000000000001</v>
      </c>
      <c r="F218" s="4">
        <v>1305.6500000000001</v>
      </c>
      <c r="H218" s="10">
        <f t="shared" si="3"/>
        <v>1.7733260581495051E-2</v>
      </c>
    </row>
    <row r="219" spans="1:8">
      <c r="A219" s="2">
        <v>45433</v>
      </c>
      <c r="B219" s="4">
        <v>1300</v>
      </c>
      <c r="C219" s="4">
        <v>1300.95</v>
      </c>
      <c r="D219" s="4">
        <v>1271.2</v>
      </c>
      <c r="E219" s="4">
        <v>1299.4000000000001</v>
      </c>
      <c r="F219" s="4">
        <v>1282.9000000000001</v>
      </c>
      <c r="H219" s="10">
        <f t="shared" si="3"/>
        <v>-1.2698168385408649E-2</v>
      </c>
    </row>
    <row r="220" spans="1:8">
      <c r="A220" s="2">
        <v>45430</v>
      </c>
      <c r="B220" s="4">
        <v>1301.7</v>
      </c>
      <c r="C220" s="4">
        <v>1308.8</v>
      </c>
      <c r="D220" s="4">
        <v>1290.05</v>
      </c>
      <c r="E220" s="4">
        <v>1295.0999999999999</v>
      </c>
      <c r="F220" s="4">
        <v>1299.4000000000001</v>
      </c>
      <c r="H220" s="10">
        <f t="shared" si="3"/>
        <v>3.3202069338276441E-3</v>
      </c>
    </row>
    <row r="221" spans="1:8">
      <c r="A221" s="2">
        <v>45429</v>
      </c>
      <c r="B221" s="4">
        <v>1302.8</v>
      </c>
      <c r="C221" s="4">
        <v>1302.8</v>
      </c>
      <c r="D221" s="4">
        <v>1290</v>
      </c>
      <c r="E221" s="4">
        <v>1302.75</v>
      </c>
      <c r="F221" s="4">
        <v>1295.0999999999999</v>
      </c>
      <c r="H221" s="10">
        <f t="shared" si="3"/>
        <v>-5.8721934369603459E-3</v>
      </c>
    </row>
    <row r="222" spans="1:8">
      <c r="A222" s="2">
        <v>45428</v>
      </c>
      <c r="B222" s="4">
        <v>1296.1500000000001</v>
      </c>
      <c r="C222" s="4">
        <v>1307.6500000000001</v>
      </c>
      <c r="D222" s="4">
        <v>1280</v>
      </c>
      <c r="E222" s="4">
        <v>1291.5999999999999</v>
      </c>
      <c r="F222" s="4">
        <v>1302.75</v>
      </c>
      <c r="H222" s="10">
        <f t="shared" si="3"/>
        <v>8.6327036234128927E-3</v>
      </c>
    </row>
    <row r="223" spans="1:8">
      <c r="A223" s="2">
        <v>45427</v>
      </c>
      <c r="B223" s="4">
        <v>1312.4</v>
      </c>
      <c r="C223" s="4">
        <v>1317.1</v>
      </c>
      <c r="D223" s="4">
        <v>1287.4000000000001</v>
      </c>
      <c r="E223" s="4">
        <v>1306.9000000000001</v>
      </c>
      <c r="F223" s="4">
        <v>1291.5999999999999</v>
      </c>
      <c r="H223" s="10">
        <f t="shared" si="3"/>
        <v>-1.1707093121126468E-2</v>
      </c>
    </row>
    <row r="224" spans="1:8">
      <c r="A224" s="2">
        <v>45426</v>
      </c>
      <c r="B224" s="4">
        <v>1336</v>
      </c>
      <c r="C224" s="4">
        <v>1344.95</v>
      </c>
      <c r="D224" s="4">
        <v>1301.75</v>
      </c>
      <c r="E224" s="4">
        <v>1338.3</v>
      </c>
      <c r="F224" s="4">
        <v>1306.9000000000001</v>
      </c>
      <c r="H224" s="10">
        <f t="shared" si="3"/>
        <v>-2.3462601808264115E-2</v>
      </c>
    </row>
    <row r="225" spans="1:8">
      <c r="A225" s="2">
        <v>45425</v>
      </c>
      <c r="B225" s="4">
        <v>1324.25</v>
      </c>
      <c r="C225" s="4">
        <v>1349.5</v>
      </c>
      <c r="D225" s="4">
        <v>1311.35</v>
      </c>
      <c r="E225" s="4">
        <v>1320.95</v>
      </c>
      <c r="F225" s="4">
        <v>1338.3</v>
      </c>
      <c r="H225" s="10">
        <f t="shared" si="3"/>
        <v>1.3134486543775244E-2</v>
      </c>
    </row>
    <row r="226" spans="1:8">
      <c r="A226" s="2">
        <v>45422</v>
      </c>
      <c r="B226" s="4">
        <v>1335.4</v>
      </c>
      <c r="C226" s="4">
        <v>1336.1</v>
      </c>
      <c r="D226" s="4">
        <v>1313.55</v>
      </c>
      <c r="E226" s="4">
        <v>1330.9</v>
      </c>
      <c r="F226" s="4">
        <v>1320.95</v>
      </c>
      <c r="H226" s="10">
        <f t="shared" si="3"/>
        <v>-7.4761439627320193E-3</v>
      </c>
    </row>
    <row r="227" spans="1:8">
      <c r="A227" s="2">
        <v>45421</v>
      </c>
      <c r="B227" s="4">
        <v>1342</v>
      </c>
      <c r="C227" s="4">
        <v>1352.7</v>
      </c>
      <c r="D227" s="4">
        <v>1320.4</v>
      </c>
      <c r="E227" s="4">
        <v>1350.3</v>
      </c>
      <c r="F227" s="4">
        <v>1330.9</v>
      </c>
      <c r="H227" s="10">
        <f t="shared" si="3"/>
        <v>-1.4367177664222665E-2</v>
      </c>
    </row>
    <row r="228" spans="1:8">
      <c r="A228" s="2">
        <v>45420</v>
      </c>
      <c r="B228" s="4">
        <v>1319</v>
      </c>
      <c r="C228" s="4">
        <v>1372.95</v>
      </c>
      <c r="D228" s="4">
        <v>1309.3499999999999</v>
      </c>
      <c r="E228" s="4">
        <v>1322.35</v>
      </c>
      <c r="F228" s="4">
        <v>1350.3</v>
      </c>
      <c r="H228" s="10">
        <f t="shared" si="3"/>
        <v>2.1136612848338222E-2</v>
      </c>
    </row>
    <row r="229" spans="1:8">
      <c r="A229" s="2">
        <v>45419</v>
      </c>
      <c r="B229" s="4">
        <v>1271.6500000000001</v>
      </c>
      <c r="C229" s="4">
        <v>1350</v>
      </c>
      <c r="D229" s="4">
        <v>1267.1500000000001</v>
      </c>
      <c r="E229" s="4">
        <v>1250.1500000000001</v>
      </c>
      <c r="F229" s="4">
        <v>1322.35</v>
      </c>
      <c r="H229" s="10">
        <f t="shared" si="3"/>
        <v>5.7753069631644054E-2</v>
      </c>
    </row>
    <row r="230" spans="1:8">
      <c r="A230" s="2">
        <v>45418</v>
      </c>
      <c r="B230" s="4">
        <v>1259.8</v>
      </c>
      <c r="C230" s="4">
        <v>1270</v>
      </c>
      <c r="D230" s="4">
        <v>1228.8499999999999</v>
      </c>
      <c r="E230" s="4">
        <v>1251.2</v>
      </c>
      <c r="F230" s="4">
        <v>1250.1500000000001</v>
      </c>
      <c r="H230" s="10">
        <f t="shared" si="3"/>
        <v>-8.3919437340149812E-4</v>
      </c>
    </row>
    <row r="231" spans="1:8">
      <c r="A231" s="2">
        <v>45415</v>
      </c>
      <c r="B231" s="4">
        <v>1244</v>
      </c>
      <c r="C231" s="4">
        <v>1255</v>
      </c>
      <c r="D231" s="4">
        <v>1232.7</v>
      </c>
      <c r="E231" s="4">
        <v>1233.3</v>
      </c>
      <c r="F231" s="4">
        <v>1251.2</v>
      </c>
      <c r="H231" s="10">
        <f t="shared" si="3"/>
        <v>1.4513905781237405E-2</v>
      </c>
    </row>
    <row r="232" spans="1:8">
      <c r="A232" s="2">
        <v>45414</v>
      </c>
      <c r="B232" s="4">
        <v>1227.95</v>
      </c>
      <c r="C232" s="4">
        <v>1254.5999999999999</v>
      </c>
      <c r="D232" s="4">
        <v>1217.5</v>
      </c>
      <c r="E232" s="4">
        <v>1219.5</v>
      </c>
      <c r="F232" s="4">
        <v>1233.3</v>
      </c>
      <c r="H232" s="10">
        <f t="shared" si="3"/>
        <v>1.1316113161131574E-2</v>
      </c>
    </row>
    <row r="233" spans="1:8">
      <c r="A233" s="2">
        <v>45412</v>
      </c>
      <c r="B233" s="4">
        <v>1225</v>
      </c>
      <c r="C233" s="4">
        <v>1240</v>
      </c>
      <c r="D233" s="4">
        <v>1216.45</v>
      </c>
      <c r="E233" s="4">
        <v>1218.05</v>
      </c>
      <c r="F233" s="4">
        <v>1219.5</v>
      </c>
      <c r="H233" s="10">
        <f t="shared" si="3"/>
        <v>1.1904273223595464E-3</v>
      </c>
    </row>
    <row r="234" spans="1:8">
      <c r="A234" s="2">
        <v>45411</v>
      </c>
      <c r="B234" s="4">
        <v>1204.5</v>
      </c>
      <c r="C234" s="4">
        <v>1221.0999999999999</v>
      </c>
      <c r="D234" s="4">
        <v>1191.3</v>
      </c>
      <c r="E234" s="4">
        <v>1202.5</v>
      </c>
      <c r="F234" s="4">
        <v>1218.05</v>
      </c>
      <c r="H234" s="10">
        <f t="shared" si="3"/>
        <v>1.2931392931392893E-2</v>
      </c>
    </row>
    <row r="235" spans="1:8">
      <c r="A235" s="2">
        <v>45408</v>
      </c>
      <c r="B235" s="4">
        <v>1201.75</v>
      </c>
      <c r="C235" s="4">
        <v>1212</v>
      </c>
      <c r="D235" s="4">
        <v>1189.2</v>
      </c>
      <c r="E235" s="4">
        <v>1201.8</v>
      </c>
      <c r="F235" s="4">
        <v>1202.5</v>
      </c>
      <c r="H235" s="10">
        <f t="shared" si="3"/>
        <v>5.8245964386756984E-4</v>
      </c>
    </row>
    <row r="236" spans="1:8">
      <c r="A236" s="2">
        <v>45407</v>
      </c>
      <c r="B236" s="4">
        <v>1225.2</v>
      </c>
      <c r="C236" s="4">
        <v>1230</v>
      </c>
      <c r="D236" s="4">
        <v>1185.7</v>
      </c>
      <c r="E236" s="4">
        <v>1212.8</v>
      </c>
      <c r="F236" s="4">
        <v>1201.8</v>
      </c>
      <c r="H236" s="10">
        <f t="shared" si="3"/>
        <v>-9.0699208443271763E-3</v>
      </c>
    </row>
    <row r="237" spans="1:8">
      <c r="A237" s="2">
        <v>45406</v>
      </c>
      <c r="B237" s="4">
        <v>1181.5999999999999</v>
      </c>
      <c r="C237" s="4">
        <v>1221.1500000000001</v>
      </c>
      <c r="D237" s="4">
        <v>1176.0999999999999</v>
      </c>
      <c r="E237" s="4">
        <v>1178.3499999999999</v>
      </c>
      <c r="F237" s="4">
        <v>1212.8</v>
      </c>
      <c r="H237" s="10">
        <f t="shared" si="3"/>
        <v>2.9235795816183689E-2</v>
      </c>
    </row>
    <row r="238" spans="1:8">
      <c r="A238" s="2">
        <v>45405</v>
      </c>
      <c r="B238" s="4">
        <v>1194.4000000000001</v>
      </c>
      <c r="C238" s="4">
        <v>1194.4000000000001</v>
      </c>
      <c r="D238" s="4">
        <v>1176.1500000000001</v>
      </c>
      <c r="E238" s="4">
        <v>1185.5</v>
      </c>
      <c r="F238" s="4">
        <v>1178.3499999999999</v>
      </c>
      <c r="H238" s="10">
        <f t="shared" si="3"/>
        <v>-6.0312104597217133E-3</v>
      </c>
    </row>
    <row r="239" spans="1:8">
      <c r="A239" s="2">
        <v>45404</v>
      </c>
      <c r="B239" s="4">
        <v>1174.95</v>
      </c>
      <c r="C239" s="4">
        <v>1190.55</v>
      </c>
      <c r="D239" s="4">
        <v>1165.55</v>
      </c>
      <c r="E239" s="4">
        <v>1168.8499999999999</v>
      </c>
      <c r="F239" s="4">
        <v>1185.5</v>
      </c>
      <c r="H239" s="10">
        <f t="shared" si="3"/>
        <v>1.4244770500919787E-2</v>
      </c>
    </row>
    <row r="240" spans="1:8">
      <c r="A240" s="2">
        <v>45401</v>
      </c>
      <c r="B240" s="4">
        <v>1162.7</v>
      </c>
      <c r="C240" s="4">
        <v>1175.45</v>
      </c>
      <c r="D240" s="4">
        <v>1140.05</v>
      </c>
      <c r="E240" s="4">
        <v>1162.75</v>
      </c>
      <c r="F240" s="4">
        <v>1168.8499999999999</v>
      </c>
      <c r="H240" s="10">
        <f t="shared" si="3"/>
        <v>5.2461836164264964E-3</v>
      </c>
    </row>
    <row r="241" spans="1:8">
      <c r="A241" s="2">
        <v>45400</v>
      </c>
      <c r="B241" s="4">
        <v>1178.5</v>
      </c>
      <c r="C241" s="4">
        <v>1194.45</v>
      </c>
      <c r="D241" s="4">
        <v>1158.1500000000001</v>
      </c>
      <c r="E241" s="4">
        <v>1177.25</v>
      </c>
      <c r="F241" s="4">
        <v>1162.75</v>
      </c>
      <c r="H241" s="10">
        <f t="shared" si="3"/>
        <v>-1.2316840093438097E-2</v>
      </c>
    </row>
    <row r="242" spans="1:8">
      <c r="A242" s="2">
        <v>45398</v>
      </c>
      <c r="B242" s="4">
        <v>1177.4000000000001</v>
      </c>
      <c r="C242" s="4">
        <v>1190.8</v>
      </c>
      <c r="D242" s="4">
        <v>1172.0999999999999</v>
      </c>
      <c r="E242" s="4">
        <v>1177.4000000000001</v>
      </c>
      <c r="F242" s="4">
        <v>1177.25</v>
      </c>
      <c r="H242" s="10">
        <f t="shared" si="3"/>
        <v>-1.2739935451001438E-4</v>
      </c>
    </row>
    <row r="243" spans="1:8">
      <c r="A243" s="2">
        <v>45397</v>
      </c>
      <c r="B243" s="4">
        <v>1180.95</v>
      </c>
      <c r="C243" s="4">
        <v>1199.6500000000001</v>
      </c>
      <c r="D243" s="4">
        <v>1170.5</v>
      </c>
      <c r="E243" s="4">
        <v>1199.75</v>
      </c>
      <c r="F243" s="4">
        <v>1177.4000000000001</v>
      </c>
      <c r="H243" s="10">
        <f t="shared" si="3"/>
        <v>-1.862888101687844E-2</v>
      </c>
    </row>
    <row r="244" spans="1:8">
      <c r="A244" s="2">
        <v>45394</v>
      </c>
      <c r="B244" s="4">
        <v>1230.1500000000001</v>
      </c>
      <c r="C244" s="4">
        <v>1234.95</v>
      </c>
      <c r="D244" s="4">
        <v>1193.3</v>
      </c>
      <c r="E244" s="4">
        <v>1230.1500000000001</v>
      </c>
      <c r="F244" s="4">
        <v>1199.75</v>
      </c>
      <c r="H244" s="10">
        <f t="shared" si="3"/>
        <v>-2.471243344307612E-2</v>
      </c>
    </row>
    <row r="245" spans="1:8">
      <c r="A245" s="2">
        <v>45392</v>
      </c>
      <c r="B245" s="4">
        <v>1237.6500000000001</v>
      </c>
      <c r="C245" s="4">
        <v>1239.25</v>
      </c>
      <c r="D245" s="4">
        <v>1216</v>
      </c>
      <c r="E245" s="4">
        <v>1237.6500000000001</v>
      </c>
      <c r="F245" s="4">
        <v>1230.1500000000001</v>
      </c>
      <c r="H245" s="10">
        <f t="shared" si="3"/>
        <v>-6.0598715307235481E-3</v>
      </c>
    </row>
    <row r="246" spans="1:8">
      <c r="A246" s="2">
        <v>45391</v>
      </c>
      <c r="B246" s="4">
        <v>1246.2</v>
      </c>
      <c r="C246" s="4">
        <v>1249.2</v>
      </c>
      <c r="D246" s="4">
        <v>1220.2</v>
      </c>
      <c r="E246" s="4">
        <v>1246.2</v>
      </c>
      <c r="F246" s="4">
        <v>1237.6500000000001</v>
      </c>
      <c r="H246" s="10">
        <f t="shared" si="3"/>
        <v>-6.8608570052960637E-3</v>
      </c>
    </row>
    <row r="247" spans="1:8">
      <c r="A247" s="2">
        <v>45390</v>
      </c>
      <c r="B247" s="4">
        <v>1230</v>
      </c>
      <c r="C247" s="4">
        <v>1279.4000000000001</v>
      </c>
      <c r="D247" s="4">
        <v>1216.8499999999999</v>
      </c>
      <c r="E247" s="4">
        <v>1210.0999999999999</v>
      </c>
      <c r="F247" s="4">
        <v>1246.2</v>
      </c>
      <c r="H247" s="10">
        <f t="shared" si="3"/>
        <v>2.983224526898615E-2</v>
      </c>
    </row>
    <row r="248" spans="1:8">
      <c r="A248" s="2">
        <v>45387</v>
      </c>
      <c r="B248" s="4">
        <v>1180.5999999999999</v>
      </c>
      <c r="C248" s="4">
        <v>1216.0999999999999</v>
      </c>
      <c r="D248" s="4">
        <v>1175.3499999999999</v>
      </c>
      <c r="E248" s="4">
        <v>1177.55</v>
      </c>
      <c r="F248" s="4">
        <v>1210.0999999999999</v>
      </c>
      <c r="H248" s="10">
        <f t="shared" si="3"/>
        <v>2.764213833807478E-2</v>
      </c>
    </row>
    <row r="249" spans="1:8">
      <c r="A249" s="2">
        <v>45386</v>
      </c>
      <c r="B249" s="4">
        <v>1198.9000000000001</v>
      </c>
      <c r="C249" s="4">
        <v>1201.45</v>
      </c>
      <c r="D249" s="4">
        <v>1173.2</v>
      </c>
      <c r="E249" s="4">
        <v>1189.4000000000001</v>
      </c>
      <c r="F249" s="4">
        <v>1177.55</v>
      </c>
      <c r="H249" s="10">
        <f t="shared" si="3"/>
        <v>-9.9630065579284811E-3</v>
      </c>
    </row>
    <row r="250" spans="1:8">
      <c r="A250" s="2">
        <v>45385</v>
      </c>
      <c r="B250" s="4">
        <v>1209.0999999999999</v>
      </c>
      <c r="C250" s="4">
        <v>1209.0999999999999</v>
      </c>
      <c r="D250" s="4">
        <v>1180.2</v>
      </c>
      <c r="E250" s="4">
        <v>1209.1500000000001</v>
      </c>
      <c r="F250" s="4">
        <v>1189.4000000000001</v>
      </c>
      <c r="H250" s="10">
        <f t="shared" si="3"/>
        <v>-1.6333788198321132E-2</v>
      </c>
    </row>
    <row r="251" spans="1:8">
      <c r="A251" s="2">
        <v>45384</v>
      </c>
      <c r="B251" s="4">
        <v>1230</v>
      </c>
      <c r="C251" s="4">
        <v>1233.95</v>
      </c>
      <c r="D251" s="4">
        <v>1202.5</v>
      </c>
      <c r="E251" s="4">
        <v>1228.3499999999999</v>
      </c>
      <c r="F251" s="4">
        <v>1209.1500000000001</v>
      </c>
      <c r="H251" s="10">
        <f t="shared" si="3"/>
        <v>-1.5630724142141752E-2</v>
      </c>
    </row>
    <row r="252" spans="1:8">
      <c r="A252" s="2">
        <v>45383</v>
      </c>
      <c r="B252" s="4">
        <v>1252</v>
      </c>
      <c r="C252" s="4">
        <v>1271.45</v>
      </c>
      <c r="D252" s="4">
        <v>1222.3499999999999</v>
      </c>
      <c r="E252" s="4">
        <v>1251.8</v>
      </c>
      <c r="F252" s="4">
        <v>1228.3499999999999</v>
      </c>
      <c r="H252" s="10">
        <f t="shared" si="3"/>
        <v>-1.8733024444799524E-2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5990-167C-4BE0-8804-D75FA131004C}">
  <dimension ref="A1:L252"/>
  <sheetViews>
    <sheetView workbookViewId="0">
      <selection activeCell="N9" sqref="N9"/>
    </sheetView>
  </sheetViews>
  <sheetFormatPr defaultRowHeight="14.4"/>
  <cols>
    <col min="1" max="1" width="11.109375" customWidth="1"/>
    <col min="8" max="8" width="11.5546875" customWidth="1"/>
    <col min="11" max="11" width="18.44140625" bestFit="1" customWidth="1"/>
    <col min="12" max="12" width="14.33203125" customWidth="1"/>
    <col min="14" max="14" width="26.109375" bestFit="1" customWidth="1"/>
  </cols>
  <sheetData>
    <row r="1" spans="1:12">
      <c r="A1" s="5" t="s">
        <v>18</v>
      </c>
      <c r="B1" t="s">
        <v>19</v>
      </c>
    </row>
    <row r="3" spans="1:1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6</v>
      </c>
      <c r="H3" s="11" t="s">
        <v>7</v>
      </c>
    </row>
    <row r="4" spans="1:12">
      <c r="A4" s="2">
        <v>45744</v>
      </c>
      <c r="B4" s="4">
        <v>8510</v>
      </c>
      <c r="C4" s="4">
        <v>8759</v>
      </c>
      <c r="D4" s="4">
        <v>8430.2999999999993</v>
      </c>
      <c r="E4" s="4">
        <v>8494.65</v>
      </c>
      <c r="F4" s="4">
        <v>8607.65</v>
      </c>
      <c r="H4" s="10">
        <f>(F4-E4)/E4</f>
        <v>1.3302490391010812E-2</v>
      </c>
    </row>
    <row r="5" spans="1:12">
      <c r="A5" s="2">
        <v>45743</v>
      </c>
      <c r="B5" s="4">
        <v>8326</v>
      </c>
      <c r="C5" s="4">
        <v>8640</v>
      </c>
      <c r="D5" s="4">
        <v>8312.4500000000007</v>
      </c>
      <c r="E5" s="4">
        <v>8386.5</v>
      </c>
      <c r="F5" s="4">
        <v>8494.65</v>
      </c>
      <c r="H5" s="10">
        <f t="shared" ref="H5:H68" si="0">(F5-E5)/E5</f>
        <v>1.2895725272759749E-2</v>
      </c>
    </row>
    <row r="6" spans="1:12">
      <c r="A6" s="2">
        <v>45742</v>
      </c>
      <c r="B6" s="4">
        <v>8478.6</v>
      </c>
      <c r="C6" s="4">
        <v>8478.6</v>
      </c>
      <c r="D6" s="4">
        <v>8239.5499999999993</v>
      </c>
      <c r="E6" s="4">
        <v>8416.35</v>
      </c>
      <c r="F6" s="4">
        <v>8386.5</v>
      </c>
      <c r="H6" s="10">
        <f t="shared" si="0"/>
        <v>-3.5466680924629277E-3</v>
      </c>
      <c r="K6" t="s">
        <v>8</v>
      </c>
      <c r="L6">
        <f>AVERAGE(H4:H252)</f>
        <v>2.3070150923911485E-3</v>
      </c>
    </row>
    <row r="7" spans="1:12">
      <c r="A7" s="2">
        <v>45741</v>
      </c>
      <c r="B7" s="4">
        <v>8498</v>
      </c>
      <c r="C7" s="4">
        <v>8575</v>
      </c>
      <c r="D7" s="4">
        <v>8368.6</v>
      </c>
      <c r="E7" s="4">
        <v>8480.4500000000007</v>
      </c>
      <c r="F7" s="4">
        <v>8416.35</v>
      </c>
      <c r="H7" s="10">
        <f t="shared" si="0"/>
        <v>-7.5585611612591736E-3</v>
      </c>
      <c r="K7" t="s">
        <v>9</v>
      </c>
      <c r="L7">
        <f>_xlfn.VAR.S(H4:H252)</f>
        <v>7.9267428249412059E-4</v>
      </c>
    </row>
    <row r="8" spans="1:12">
      <c r="A8" s="2">
        <v>45740</v>
      </c>
      <c r="B8" s="4">
        <v>8615.0499999999993</v>
      </c>
      <c r="C8" s="4">
        <v>9059.0499999999993</v>
      </c>
      <c r="D8" s="4">
        <v>8405.15</v>
      </c>
      <c r="E8" s="4">
        <v>8510.7999999999993</v>
      </c>
      <c r="F8" s="4">
        <v>8480.4500000000007</v>
      </c>
      <c r="H8" s="10">
        <f t="shared" si="0"/>
        <v>-3.5660572449121761E-3</v>
      </c>
      <c r="K8" t="s">
        <v>10</v>
      </c>
      <c r="L8">
        <f>_xlfn.STDEV.S(H4:H252)</f>
        <v>2.8154471802790414E-2</v>
      </c>
    </row>
    <row r="9" spans="1:12">
      <c r="A9" s="2">
        <v>45737</v>
      </c>
      <c r="B9" s="4">
        <v>8390</v>
      </c>
      <c r="C9" s="4">
        <v>8699</v>
      </c>
      <c r="D9" s="4">
        <v>8221.9500000000007</v>
      </c>
      <c r="E9" s="4">
        <v>8383.6</v>
      </c>
      <c r="F9" s="4">
        <v>8510.7999999999993</v>
      </c>
      <c r="H9" s="10">
        <f t="shared" si="0"/>
        <v>1.5172479603034365E-2</v>
      </c>
    </row>
    <row r="10" spans="1:12">
      <c r="A10" s="2">
        <v>45736</v>
      </c>
      <c r="B10" s="4">
        <v>7979.95</v>
      </c>
      <c r="C10" s="4">
        <v>8877</v>
      </c>
      <c r="D10" s="4">
        <v>7950.7</v>
      </c>
      <c r="E10" s="4">
        <v>7901.5</v>
      </c>
      <c r="F10" s="4">
        <v>8383.6</v>
      </c>
      <c r="H10" s="10">
        <f t="shared" si="0"/>
        <v>6.1013731569955119E-2</v>
      </c>
    </row>
    <row r="11" spans="1:12">
      <c r="A11" s="2">
        <v>45735</v>
      </c>
      <c r="B11" s="4">
        <v>8043.7</v>
      </c>
      <c r="C11" s="4">
        <v>8043.7</v>
      </c>
      <c r="D11" s="4">
        <v>7875</v>
      </c>
      <c r="E11" s="4">
        <v>7908.65</v>
      </c>
      <c r="F11" s="4">
        <v>7901.5</v>
      </c>
      <c r="H11" s="10">
        <f t="shared" si="0"/>
        <v>-9.0407338799917004E-4</v>
      </c>
    </row>
    <row r="12" spans="1:12">
      <c r="A12" s="2">
        <v>45734</v>
      </c>
      <c r="B12" s="4">
        <v>7784.15</v>
      </c>
      <c r="C12" s="4">
        <v>8020</v>
      </c>
      <c r="D12" s="4">
        <v>7712.4</v>
      </c>
      <c r="E12" s="4">
        <v>7712.4</v>
      </c>
      <c r="F12" s="4">
        <v>7908.65</v>
      </c>
      <c r="H12" s="10">
        <f t="shared" si="0"/>
        <v>2.544603495669312E-2</v>
      </c>
    </row>
    <row r="13" spans="1:12">
      <c r="A13" s="2">
        <v>45733</v>
      </c>
      <c r="B13" s="4">
        <v>7698.9</v>
      </c>
      <c r="C13" s="4">
        <v>7866.7</v>
      </c>
      <c r="D13" s="4">
        <v>7637</v>
      </c>
      <c r="E13" s="4">
        <v>7675.55</v>
      </c>
      <c r="F13" s="4">
        <v>7712.4</v>
      </c>
      <c r="H13" s="10">
        <f t="shared" si="0"/>
        <v>4.8009588889394838E-3</v>
      </c>
    </row>
    <row r="14" spans="1:12">
      <c r="A14" s="2">
        <v>45729</v>
      </c>
      <c r="B14" s="4">
        <v>7710</v>
      </c>
      <c r="C14" s="4">
        <v>7970.6</v>
      </c>
      <c r="D14" s="4">
        <v>7584</v>
      </c>
      <c r="E14" s="4">
        <v>7706.85</v>
      </c>
      <c r="F14" s="4">
        <v>7675.55</v>
      </c>
      <c r="H14" s="10">
        <f t="shared" si="0"/>
        <v>-4.0613220706255063E-3</v>
      </c>
    </row>
    <row r="15" spans="1:12">
      <c r="A15" s="2">
        <v>45728</v>
      </c>
      <c r="B15" s="4">
        <v>7807.35</v>
      </c>
      <c r="C15" s="4">
        <v>7957.15</v>
      </c>
      <c r="D15" s="4">
        <v>7675.7</v>
      </c>
      <c r="E15" s="4">
        <v>7807.35</v>
      </c>
      <c r="F15" s="4">
        <v>7706.85</v>
      </c>
      <c r="H15" s="10">
        <f t="shared" si="0"/>
        <v>-1.2872485542469595E-2</v>
      </c>
    </row>
    <row r="16" spans="1:12">
      <c r="A16" s="2">
        <v>45727</v>
      </c>
      <c r="B16" s="4">
        <v>7590</v>
      </c>
      <c r="C16" s="4">
        <v>7990</v>
      </c>
      <c r="D16" s="4">
        <v>7511.7</v>
      </c>
      <c r="E16" s="4">
        <v>7625.6</v>
      </c>
      <c r="F16" s="4">
        <v>7807.35</v>
      </c>
      <c r="H16" s="10">
        <f t="shared" si="0"/>
        <v>2.3834190096516994E-2</v>
      </c>
    </row>
    <row r="17" spans="1:8">
      <c r="A17" s="2">
        <v>45726</v>
      </c>
      <c r="B17" s="4">
        <v>7505</v>
      </c>
      <c r="C17" s="4">
        <v>7710</v>
      </c>
      <c r="D17" s="4">
        <v>7505</v>
      </c>
      <c r="E17" s="4">
        <v>7468.15</v>
      </c>
      <c r="F17" s="4">
        <v>7625.6</v>
      </c>
      <c r="H17" s="10">
        <f t="shared" si="0"/>
        <v>2.1082865234362022E-2</v>
      </c>
    </row>
    <row r="18" spans="1:8">
      <c r="A18" s="2">
        <v>45723</v>
      </c>
      <c r="B18" s="4">
        <v>7466.65</v>
      </c>
      <c r="C18" s="4">
        <v>7532.95</v>
      </c>
      <c r="D18" s="4">
        <v>7414.5</v>
      </c>
      <c r="E18" s="4">
        <v>7466.65</v>
      </c>
      <c r="F18" s="4">
        <v>7468.15</v>
      </c>
      <c r="H18" s="10">
        <f t="shared" si="0"/>
        <v>2.0089330556541423E-4</v>
      </c>
    </row>
    <row r="19" spans="1:8">
      <c r="A19" s="2">
        <v>45722</v>
      </c>
      <c r="B19" s="4">
        <v>7340.2</v>
      </c>
      <c r="C19" s="4">
        <v>7510.4</v>
      </c>
      <c r="D19" s="4">
        <v>7301.5</v>
      </c>
      <c r="E19" s="4">
        <v>7339.45</v>
      </c>
      <c r="F19" s="4">
        <v>7466.65</v>
      </c>
      <c r="H19" s="10">
        <f t="shared" si="0"/>
        <v>1.7330998916812543E-2</v>
      </c>
    </row>
    <row r="20" spans="1:8">
      <c r="A20" s="2">
        <v>45721</v>
      </c>
      <c r="B20" s="4">
        <v>7180.8</v>
      </c>
      <c r="C20" s="4">
        <v>7467.7</v>
      </c>
      <c r="D20" s="4">
        <v>7180.8</v>
      </c>
      <c r="E20" s="4">
        <v>7306.25</v>
      </c>
      <c r="F20" s="4">
        <v>7339.45</v>
      </c>
      <c r="H20" s="10">
        <f t="shared" si="0"/>
        <v>4.5440547476475373E-3</v>
      </c>
    </row>
    <row r="21" spans="1:8">
      <c r="A21" s="2">
        <v>45720</v>
      </c>
      <c r="B21" s="4">
        <v>6868.25</v>
      </c>
      <c r="C21" s="4">
        <v>7397</v>
      </c>
      <c r="D21" s="4">
        <v>6730.05</v>
      </c>
      <c r="E21" s="4">
        <v>6858.2</v>
      </c>
      <c r="F21" s="4">
        <v>7306.25</v>
      </c>
      <c r="H21" s="10">
        <f t="shared" si="0"/>
        <v>6.5330553206380718E-2</v>
      </c>
    </row>
    <row r="22" spans="1:8">
      <c r="A22" s="2">
        <v>45719</v>
      </c>
      <c r="B22" s="4">
        <v>6783</v>
      </c>
      <c r="C22" s="4">
        <v>6890.35</v>
      </c>
      <c r="D22" s="4">
        <v>6620.1</v>
      </c>
      <c r="E22" s="4">
        <v>6698.65</v>
      </c>
      <c r="F22" s="4">
        <v>6858.2</v>
      </c>
      <c r="H22" s="10">
        <f t="shared" si="0"/>
        <v>2.3818232031827338E-2</v>
      </c>
    </row>
    <row r="23" spans="1:8">
      <c r="A23" s="2">
        <v>45716</v>
      </c>
      <c r="B23" s="4">
        <v>6949</v>
      </c>
      <c r="C23" s="4">
        <v>6949</v>
      </c>
      <c r="D23" s="4">
        <v>6670</v>
      </c>
      <c r="E23" s="4">
        <v>6890.45</v>
      </c>
      <c r="F23" s="4">
        <v>6698.65</v>
      </c>
      <c r="H23" s="10">
        <f t="shared" si="0"/>
        <v>-2.7835627571493906E-2</v>
      </c>
    </row>
    <row r="24" spans="1:8">
      <c r="A24" s="2">
        <v>45715</v>
      </c>
      <c r="B24" s="4">
        <v>6919.3</v>
      </c>
      <c r="C24" s="4">
        <v>6975.95</v>
      </c>
      <c r="D24" s="4">
        <v>6779.3</v>
      </c>
      <c r="E24" s="4">
        <v>6919.3</v>
      </c>
      <c r="F24" s="4">
        <v>6890.45</v>
      </c>
      <c r="H24" s="10">
        <f t="shared" si="0"/>
        <v>-4.1694969144278121E-3</v>
      </c>
    </row>
    <row r="25" spans="1:8">
      <c r="A25" s="2">
        <v>45713</v>
      </c>
      <c r="B25" s="4">
        <v>6818.65</v>
      </c>
      <c r="C25" s="4">
        <v>6959.75</v>
      </c>
      <c r="D25" s="4">
        <v>6818.65</v>
      </c>
      <c r="E25" s="4">
        <v>6894.45</v>
      </c>
      <c r="F25" s="4">
        <v>6919.3</v>
      </c>
      <c r="H25" s="10">
        <f t="shared" si="0"/>
        <v>3.6043484251826272E-3</v>
      </c>
    </row>
    <row r="26" spans="1:8">
      <c r="A26" s="2">
        <v>45712</v>
      </c>
      <c r="B26" s="4">
        <v>6820</v>
      </c>
      <c r="C26" s="4">
        <v>7014.85</v>
      </c>
      <c r="D26" s="4">
        <v>6719.1</v>
      </c>
      <c r="E26" s="4">
        <v>6870.3</v>
      </c>
      <c r="F26" s="4">
        <v>6894.45</v>
      </c>
      <c r="H26" s="10">
        <f t="shared" si="0"/>
        <v>3.5151303436530626E-3</v>
      </c>
    </row>
    <row r="27" spans="1:8">
      <c r="A27" s="2">
        <v>45709</v>
      </c>
      <c r="B27" s="4">
        <v>6978.7</v>
      </c>
      <c r="C27" s="4">
        <v>7022.6</v>
      </c>
      <c r="D27" s="4">
        <v>6808.15</v>
      </c>
      <c r="E27" s="4">
        <v>6975.8</v>
      </c>
      <c r="F27" s="4">
        <v>6870.3</v>
      </c>
      <c r="H27" s="10">
        <f t="shared" si="0"/>
        <v>-1.5123713409214713E-2</v>
      </c>
    </row>
    <row r="28" spans="1:8">
      <c r="A28" s="2">
        <v>45708</v>
      </c>
      <c r="B28" s="4">
        <v>6931</v>
      </c>
      <c r="C28" s="4">
        <v>7119.85</v>
      </c>
      <c r="D28" s="4">
        <v>6902</v>
      </c>
      <c r="E28" s="4">
        <v>6963.15</v>
      </c>
      <c r="F28" s="4">
        <v>6975.8</v>
      </c>
      <c r="H28" s="10">
        <f t="shared" si="0"/>
        <v>1.8167065193196393E-3</v>
      </c>
    </row>
    <row r="29" spans="1:8">
      <c r="A29" s="2">
        <v>45707</v>
      </c>
      <c r="B29" s="4">
        <v>6900.5</v>
      </c>
      <c r="C29" s="4">
        <v>7023.85</v>
      </c>
      <c r="D29" s="4">
        <v>6849</v>
      </c>
      <c r="E29" s="4">
        <v>6977.3</v>
      </c>
      <c r="F29" s="4">
        <v>6963.15</v>
      </c>
      <c r="H29" s="10">
        <f t="shared" si="0"/>
        <v>-2.0280051022602648E-3</v>
      </c>
    </row>
    <row r="30" spans="1:8">
      <c r="A30" s="2">
        <v>45706</v>
      </c>
      <c r="B30" s="4">
        <v>7084.9</v>
      </c>
      <c r="C30" s="4">
        <v>7110.1</v>
      </c>
      <c r="D30" s="4">
        <v>6689.2</v>
      </c>
      <c r="E30" s="4">
        <v>7007.75</v>
      </c>
      <c r="F30" s="4">
        <v>6977.3</v>
      </c>
      <c r="H30" s="10">
        <f t="shared" si="0"/>
        <v>-4.3451892547536394E-3</v>
      </c>
    </row>
    <row r="31" spans="1:8">
      <c r="A31" s="2">
        <v>45705</v>
      </c>
      <c r="B31" s="4">
        <v>7104.3</v>
      </c>
      <c r="C31" s="4">
        <v>7477</v>
      </c>
      <c r="D31" s="4">
        <v>6921.15</v>
      </c>
      <c r="E31" s="4">
        <v>7103.65</v>
      </c>
      <c r="F31" s="4">
        <v>7007.75</v>
      </c>
      <c r="H31" s="10">
        <f t="shared" si="0"/>
        <v>-1.3500102060208434E-2</v>
      </c>
    </row>
    <row r="32" spans="1:8">
      <c r="A32" s="2">
        <v>45702</v>
      </c>
      <c r="B32" s="4">
        <v>7400</v>
      </c>
      <c r="C32" s="4">
        <v>7415.15</v>
      </c>
      <c r="D32" s="4">
        <v>7070</v>
      </c>
      <c r="E32" s="4">
        <v>7395.05</v>
      </c>
      <c r="F32" s="4">
        <v>7103.65</v>
      </c>
      <c r="H32" s="10">
        <f t="shared" si="0"/>
        <v>-3.940473695242095E-2</v>
      </c>
    </row>
    <row r="33" spans="1:8">
      <c r="A33" s="2">
        <v>45701</v>
      </c>
      <c r="B33" s="4">
        <v>7449</v>
      </c>
      <c r="C33" s="4">
        <v>7525.75</v>
      </c>
      <c r="D33" s="4">
        <v>7349.45</v>
      </c>
      <c r="E33" s="4">
        <v>7498.35</v>
      </c>
      <c r="F33" s="4">
        <v>7395.05</v>
      </c>
      <c r="H33" s="10">
        <f t="shared" si="0"/>
        <v>-1.3776364133442714E-2</v>
      </c>
    </row>
    <row r="34" spans="1:8">
      <c r="A34" s="2">
        <v>45700</v>
      </c>
      <c r="B34" s="4">
        <v>7648</v>
      </c>
      <c r="C34" s="4">
        <v>7690</v>
      </c>
      <c r="D34" s="4">
        <v>7406.9</v>
      </c>
      <c r="E34" s="4">
        <v>7447.8</v>
      </c>
      <c r="F34" s="4">
        <v>7498.35</v>
      </c>
      <c r="H34" s="10">
        <f t="shared" si="0"/>
        <v>6.7872391847257152E-3</v>
      </c>
    </row>
    <row r="35" spans="1:8">
      <c r="A35" s="2">
        <v>45699</v>
      </c>
      <c r="B35" s="4">
        <v>7579.9</v>
      </c>
      <c r="C35" s="4">
        <v>7610</v>
      </c>
      <c r="D35" s="4">
        <v>7380</v>
      </c>
      <c r="E35" s="4">
        <v>7547</v>
      </c>
      <c r="F35" s="4">
        <v>7447.8</v>
      </c>
      <c r="H35" s="10">
        <f t="shared" si="0"/>
        <v>-1.3144295746654275E-2</v>
      </c>
    </row>
    <row r="36" spans="1:8">
      <c r="A36" s="2">
        <v>45698</v>
      </c>
      <c r="B36" s="4">
        <v>7660</v>
      </c>
      <c r="C36" s="4">
        <v>7660</v>
      </c>
      <c r="D36" s="4">
        <v>7433.8</v>
      </c>
      <c r="E36" s="4">
        <v>7611.85</v>
      </c>
      <c r="F36" s="4">
        <v>7547</v>
      </c>
      <c r="H36" s="10">
        <f t="shared" si="0"/>
        <v>-8.5196108698937009E-3</v>
      </c>
    </row>
    <row r="37" spans="1:8">
      <c r="A37" s="2">
        <v>45695</v>
      </c>
      <c r="B37" s="4">
        <v>7620</v>
      </c>
      <c r="C37" s="4">
        <v>7669.75</v>
      </c>
      <c r="D37" s="4">
        <v>7499.85</v>
      </c>
      <c r="E37" s="4">
        <v>7599</v>
      </c>
      <c r="F37" s="4">
        <v>7611.85</v>
      </c>
      <c r="H37" s="10">
        <f t="shared" si="0"/>
        <v>1.6910119752599506E-3</v>
      </c>
    </row>
    <row r="38" spans="1:8">
      <c r="A38" s="2">
        <v>45694</v>
      </c>
      <c r="B38" s="4">
        <v>7500</v>
      </c>
      <c r="C38" s="4">
        <v>7726.1</v>
      </c>
      <c r="D38" s="4">
        <v>7499.85</v>
      </c>
      <c r="E38" s="4">
        <v>7531.65</v>
      </c>
      <c r="F38" s="4">
        <v>7599</v>
      </c>
      <c r="H38" s="10">
        <f t="shared" si="0"/>
        <v>8.9422636474079872E-3</v>
      </c>
    </row>
    <row r="39" spans="1:8">
      <c r="A39" s="2">
        <v>45693</v>
      </c>
      <c r="B39" s="4">
        <v>7538.15</v>
      </c>
      <c r="C39" s="4">
        <v>7595.85</v>
      </c>
      <c r="D39" s="4">
        <v>7470</v>
      </c>
      <c r="E39" s="4">
        <v>7485</v>
      </c>
      <c r="F39" s="4">
        <v>7531.65</v>
      </c>
      <c r="H39" s="10">
        <f t="shared" si="0"/>
        <v>6.2324649298596711E-3</v>
      </c>
    </row>
    <row r="40" spans="1:8">
      <c r="A40" s="2">
        <v>45692</v>
      </c>
      <c r="B40" s="4">
        <v>7441.45</v>
      </c>
      <c r="C40" s="4">
        <v>7560</v>
      </c>
      <c r="D40" s="4">
        <v>7390</v>
      </c>
      <c r="E40" s="4">
        <v>7462.05</v>
      </c>
      <c r="F40" s="4">
        <v>7485</v>
      </c>
      <c r="H40" s="10">
        <f t="shared" si="0"/>
        <v>3.0755623454680439E-3</v>
      </c>
    </row>
    <row r="41" spans="1:8">
      <c r="A41" s="2">
        <v>45691</v>
      </c>
      <c r="B41" s="4">
        <v>7350.05</v>
      </c>
      <c r="C41" s="4">
        <v>7633</v>
      </c>
      <c r="D41" s="4">
        <v>7239</v>
      </c>
      <c r="E41" s="4">
        <v>7410.3</v>
      </c>
      <c r="F41" s="4">
        <v>7462.05</v>
      </c>
      <c r="H41" s="10">
        <f t="shared" si="0"/>
        <v>6.9835229342941584E-3</v>
      </c>
    </row>
    <row r="42" spans="1:8">
      <c r="A42" s="2">
        <v>45689</v>
      </c>
      <c r="B42" s="4">
        <v>7235.1</v>
      </c>
      <c r="C42" s="4">
        <v>7545</v>
      </c>
      <c r="D42" s="4">
        <v>7057</v>
      </c>
      <c r="E42" s="4">
        <v>7235.1</v>
      </c>
      <c r="F42" s="4">
        <v>7410.3</v>
      </c>
      <c r="H42" s="10">
        <f t="shared" si="0"/>
        <v>2.4215283824687954E-2</v>
      </c>
    </row>
    <row r="43" spans="1:8">
      <c r="A43" s="2">
        <v>45688</v>
      </c>
      <c r="B43" s="4">
        <v>7160</v>
      </c>
      <c r="C43" s="4">
        <v>7295</v>
      </c>
      <c r="D43" s="4">
        <v>7100</v>
      </c>
      <c r="E43" s="4">
        <v>7262.8</v>
      </c>
      <c r="F43" s="4">
        <v>7235.1</v>
      </c>
      <c r="H43" s="10">
        <f t="shared" si="0"/>
        <v>-3.8139560500082361E-3</v>
      </c>
    </row>
    <row r="44" spans="1:8">
      <c r="A44" s="2">
        <v>45687</v>
      </c>
      <c r="B44" s="4">
        <v>7234.9</v>
      </c>
      <c r="C44" s="4">
        <v>7444</v>
      </c>
      <c r="D44" s="4">
        <v>7085.05</v>
      </c>
      <c r="E44" s="4">
        <v>7204.95</v>
      </c>
      <c r="F44" s="4">
        <v>7262.8</v>
      </c>
      <c r="H44" s="10">
        <f t="shared" si="0"/>
        <v>8.0292021457470716E-3</v>
      </c>
    </row>
    <row r="45" spans="1:8">
      <c r="A45" s="2">
        <v>45686</v>
      </c>
      <c r="B45" s="4">
        <v>7100</v>
      </c>
      <c r="C45" s="4">
        <v>7238.95</v>
      </c>
      <c r="D45" s="4">
        <v>6950.1</v>
      </c>
      <c r="E45" s="4">
        <v>7050</v>
      </c>
      <c r="F45" s="4">
        <v>7204.95</v>
      </c>
      <c r="H45" s="10">
        <f t="shared" si="0"/>
        <v>2.1978723404255295E-2</v>
      </c>
    </row>
    <row r="46" spans="1:8">
      <c r="A46" s="2">
        <v>45685</v>
      </c>
      <c r="B46" s="4">
        <v>6900</v>
      </c>
      <c r="C46" s="4">
        <v>7146.55</v>
      </c>
      <c r="D46" s="4">
        <v>6820</v>
      </c>
      <c r="E46" s="4">
        <v>7019.5</v>
      </c>
      <c r="F46" s="4">
        <v>7050</v>
      </c>
      <c r="H46" s="10">
        <f t="shared" si="0"/>
        <v>4.3450388204288055E-3</v>
      </c>
    </row>
    <row r="47" spans="1:8">
      <c r="A47" s="2">
        <v>45684</v>
      </c>
      <c r="B47" s="4">
        <v>6928.6</v>
      </c>
      <c r="C47" s="4">
        <v>7064.45</v>
      </c>
      <c r="D47" s="4">
        <v>6720</v>
      </c>
      <c r="E47" s="4">
        <v>6928.6</v>
      </c>
      <c r="F47" s="4">
        <v>7019.5</v>
      </c>
      <c r="H47" s="10">
        <f t="shared" si="0"/>
        <v>1.311953352769674E-2</v>
      </c>
    </row>
    <row r="48" spans="1:8">
      <c r="A48" s="2">
        <v>45681</v>
      </c>
      <c r="B48" s="4">
        <v>7007</v>
      </c>
      <c r="C48" s="4">
        <v>7094.9</v>
      </c>
      <c r="D48" s="4">
        <v>6851.3</v>
      </c>
      <c r="E48" s="4">
        <v>7075.7</v>
      </c>
      <c r="F48" s="4">
        <v>6928.6</v>
      </c>
      <c r="H48" s="10">
        <f t="shared" si="0"/>
        <v>-2.0789462526675729E-2</v>
      </c>
    </row>
    <row r="49" spans="1:8">
      <c r="A49" s="2">
        <v>45680</v>
      </c>
      <c r="B49" s="4">
        <v>6901.05</v>
      </c>
      <c r="C49" s="4">
        <v>7182.95</v>
      </c>
      <c r="D49" s="4">
        <v>6868.9</v>
      </c>
      <c r="E49" s="4">
        <v>6956.35</v>
      </c>
      <c r="F49" s="4">
        <v>7075.7</v>
      </c>
      <c r="H49" s="10">
        <f t="shared" si="0"/>
        <v>1.7156986063093353E-2</v>
      </c>
    </row>
    <row r="50" spans="1:8">
      <c r="A50" s="2">
        <v>45679</v>
      </c>
      <c r="B50" s="4">
        <v>6838</v>
      </c>
      <c r="C50" s="4">
        <v>7099.9</v>
      </c>
      <c r="D50" s="4">
        <v>6619.5</v>
      </c>
      <c r="E50" s="4">
        <v>6752.2</v>
      </c>
      <c r="F50" s="4">
        <v>6956.35</v>
      </c>
      <c r="H50" s="10">
        <f t="shared" si="0"/>
        <v>3.0234590207636112E-2</v>
      </c>
    </row>
    <row r="51" spans="1:8">
      <c r="A51" s="2">
        <v>45678</v>
      </c>
      <c r="B51" s="4">
        <v>6940</v>
      </c>
      <c r="C51" s="4">
        <v>6969.85</v>
      </c>
      <c r="D51" s="4">
        <v>6697.05</v>
      </c>
      <c r="E51" s="4">
        <v>6944.7</v>
      </c>
      <c r="F51" s="4">
        <v>6752.2</v>
      </c>
      <c r="H51" s="10">
        <f t="shared" si="0"/>
        <v>-2.7718979941538151E-2</v>
      </c>
    </row>
    <row r="52" spans="1:8">
      <c r="A52" s="2">
        <v>45677</v>
      </c>
      <c r="B52" s="4">
        <v>6865.65</v>
      </c>
      <c r="C52" s="4">
        <v>6987.4</v>
      </c>
      <c r="D52" s="4">
        <v>6786.65</v>
      </c>
      <c r="E52" s="4">
        <v>6920.3</v>
      </c>
      <c r="F52" s="4">
        <v>6944.7</v>
      </c>
      <c r="H52" s="10">
        <f t="shared" si="0"/>
        <v>3.5258587055473946E-3</v>
      </c>
    </row>
    <row r="53" spans="1:8">
      <c r="A53" s="2">
        <v>45674</v>
      </c>
      <c r="B53" s="4">
        <v>6859</v>
      </c>
      <c r="C53" s="4">
        <v>7052</v>
      </c>
      <c r="D53" s="4">
        <v>6730</v>
      </c>
      <c r="E53" s="4">
        <v>6785.5</v>
      </c>
      <c r="F53" s="4">
        <v>6920.3</v>
      </c>
      <c r="H53" s="10">
        <f t="shared" si="0"/>
        <v>1.9865890501805348E-2</v>
      </c>
    </row>
    <row r="54" spans="1:8">
      <c r="A54" s="2">
        <v>45673</v>
      </c>
      <c r="B54" s="4">
        <v>6746.3</v>
      </c>
      <c r="C54" s="4">
        <v>6849.85</v>
      </c>
      <c r="D54" s="4">
        <v>6745</v>
      </c>
      <c r="E54" s="4">
        <v>6735.9</v>
      </c>
      <c r="F54" s="4">
        <v>6785.5</v>
      </c>
      <c r="H54" s="10">
        <f t="shared" si="0"/>
        <v>7.3635297436126373E-3</v>
      </c>
    </row>
    <row r="55" spans="1:8">
      <c r="A55" s="2">
        <v>45672</v>
      </c>
      <c r="B55" s="4">
        <v>7120</v>
      </c>
      <c r="C55" s="4">
        <v>7333</v>
      </c>
      <c r="D55" s="4">
        <v>6700.1</v>
      </c>
      <c r="E55" s="4">
        <v>7033.1</v>
      </c>
      <c r="F55" s="4">
        <v>6735.9</v>
      </c>
      <c r="H55" s="10">
        <f t="shared" si="0"/>
        <v>-4.2257326072429047E-2</v>
      </c>
    </row>
    <row r="56" spans="1:8">
      <c r="A56" s="2">
        <v>45671</v>
      </c>
      <c r="B56" s="4">
        <v>6930</v>
      </c>
      <c r="C56" s="4">
        <v>7134</v>
      </c>
      <c r="D56" s="4">
        <v>6886</v>
      </c>
      <c r="E56" s="4">
        <v>7063.9</v>
      </c>
      <c r="F56" s="4">
        <v>7033.1</v>
      </c>
      <c r="H56" s="10">
        <f t="shared" si="0"/>
        <v>-4.3601976245415813E-3</v>
      </c>
    </row>
    <row r="57" spans="1:8">
      <c r="A57" s="2">
        <v>45670</v>
      </c>
      <c r="B57" s="4">
        <v>6750.05</v>
      </c>
      <c r="C57" s="4">
        <v>7200</v>
      </c>
      <c r="D57" s="4">
        <v>6750.05</v>
      </c>
      <c r="E57" s="4">
        <v>6907.35</v>
      </c>
      <c r="F57" s="4">
        <v>7063.9</v>
      </c>
      <c r="H57" s="10">
        <f t="shared" si="0"/>
        <v>2.2664263429535099E-2</v>
      </c>
    </row>
    <row r="58" spans="1:8">
      <c r="A58" s="2">
        <v>45667</v>
      </c>
      <c r="B58" s="4">
        <v>7067.3</v>
      </c>
      <c r="C58" s="4">
        <v>7067.3</v>
      </c>
      <c r="D58" s="4">
        <v>6840</v>
      </c>
      <c r="E58" s="4">
        <v>7089</v>
      </c>
      <c r="F58" s="4">
        <v>6907.35</v>
      </c>
      <c r="H58" s="10">
        <f t="shared" si="0"/>
        <v>-2.5624206517139179E-2</v>
      </c>
    </row>
    <row r="59" spans="1:8">
      <c r="A59" s="2">
        <v>45666</v>
      </c>
      <c r="B59" s="4">
        <v>6947</v>
      </c>
      <c r="C59" s="4">
        <v>7529</v>
      </c>
      <c r="D59" s="4">
        <v>6905</v>
      </c>
      <c r="E59" s="4">
        <v>6882.1</v>
      </c>
      <c r="F59" s="4">
        <v>7089</v>
      </c>
      <c r="H59" s="10">
        <f t="shared" si="0"/>
        <v>3.0063498060185063E-2</v>
      </c>
    </row>
    <row r="60" spans="1:8">
      <c r="A60" s="2">
        <v>45665</v>
      </c>
      <c r="B60" s="4">
        <v>7119</v>
      </c>
      <c r="C60" s="4">
        <v>7119</v>
      </c>
      <c r="D60" s="4">
        <v>6855.55</v>
      </c>
      <c r="E60" s="4">
        <v>7088.3</v>
      </c>
      <c r="F60" s="4">
        <v>6882.1</v>
      </c>
      <c r="H60" s="10">
        <f t="shared" si="0"/>
        <v>-2.9090190877925571E-2</v>
      </c>
    </row>
    <row r="61" spans="1:8">
      <c r="A61" s="2">
        <v>45664</v>
      </c>
      <c r="B61" s="4">
        <v>7362.05</v>
      </c>
      <c r="C61" s="4">
        <v>7388.3</v>
      </c>
      <c r="D61" s="4">
        <v>6899</v>
      </c>
      <c r="E61" s="4">
        <v>7275.4</v>
      </c>
      <c r="F61" s="4">
        <v>7088.3</v>
      </c>
      <c r="H61" s="10">
        <f t="shared" si="0"/>
        <v>-2.5716799076339371E-2</v>
      </c>
    </row>
    <row r="62" spans="1:8">
      <c r="A62" s="2">
        <v>45663</v>
      </c>
      <c r="B62" s="4">
        <v>7233</v>
      </c>
      <c r="C62" s="4">
        <v>7398</v>
      </c>
      <c r="D62" s="4">
        <v>6902.35</v>
      </c>
      <c r="E62" s="4">
        <v>7121.45</v>
      </c>
      <c r="F62" s="4">
        <v>7275.4</v>
      </c>
      <c r="H62" s="10">
        <f t="shared" si="0"/>
        <v>2.161778851217095E-2</v>
      </c>
    </row>
    <row r="63" spans="1:8">
      <c r="A63" s="2">
        <v>45660</v>
      </c>
      <c r="B63" s="4">
        <v>7158</v>
      </c>
      <c r="C63" s="4">
        <v>7234</v>
      </c>
      <c r="D63" s="4">
        <v>7018.05</v>
      </c>
      <c r="E63" s="4">
        <v>7134.5</v>
      </c>
      <c r="F63" s="4">
        <v>7121.45</v>
      </c>
      <c r="H63" s="10">
        <f t="shared" si="0"/>
        <v>-1.8291400939099E-3</v>
      </c>
    </row>
    <row r="64" spans="1:8">
      <c r="A64" s="2">
        <v>45659</v>
      </c>
      <c r="B64" s="4">
        <v>7248.65</v>
      </c>
      <c r="C64" s="4">
        <v>7271.3</v>
      </c>
      <c r="D64" s="4">
        <v>7103.05</v>
      </c>
      <c r="E64" s="4">
        <v>7195.85</v>
      </c>
      <c r="F64" s="4">
        <v>7134.5</v>
      </c>
      <c r="H64" s="10">
        <f t="shared" si="0"/>
        <v>-8.5257474794500111E-3</v>
      </c>
    </row>
    <row r="65" spans="1:8">
      <c r="A65" s="2">
        <v>45658</v>
      </c>
      <c r="B65" s="4">
        <v>7225</v>
      </c>
      <c r="C65" s="4">
        <v>7391.65</v>
      </c>
      <c r="D65" s="4">
        <v>7150.1</v>
      </c>
      <c r="E65" s="4">
        <v>7305.15</v>
      </c>
      <c r="F65" s="4">
        <v>7195.85</v>
      </c>
      <c r="H65" s="10">
        <f t="shared" si="0"/>
        <v>-1.4962047322779037E-2</v>
      </c>
    </row>
    <row r="66" spans="1:8">
      <c r="A66" s="2">
        <v>45657</v>
      </c>
      <c r="B66" s="4">
        <v>7200.7</v>
      </c>
      <c r="C66" s="4">
        <v>7557.5</v>
      </c>
      <c r="D66" s="4">
        <v>7015.85</v>
      </c>
      <c r="E66" s="4">
        <v>7337.2</v>
      </c>
      <c r="F66" s="4">
        <v>7305.15</v>
      </c>
      <c r="H66" s="10">
        <f t="shared" si="0"/>
        <v>-4.3681513383852398E-3</v>
      </c>
    </row>
    <row r="67" spans="1:8">
      <c r="A67" s="2">
        <v>45656</v>
      </c>
      <c r="B67" s="4">
        <v>6358.6</v>
      </c>
      <c r="C67" s="4">
        <v>7594</v>
      </c>
      <c r="D67" s="4">
        <v>6312.75</v>
      </c>
      <c r="E67" s="4">
        <v>6358.6</v>
      </c>
      <c r="F67" s="4">
        <v>7337.2</v>
      </c>
      <c r="H67" s="10">
        <f t="shared" si="0"/>
        <v>0.15390180228352143</v>
      </c>
    </row>
    <row r="68" spans="1:8">
      <c r="A68" s="2">
        <v>45653</v>
      </c>
      <c r="B68" s="4">
        <v>6380.85</v>
      </c>
      <c r="C68" s="4">
        <v>6423.5</v>
      </c>
      <c r="D68" s="4">
        <v>6315.15</v>
      </c>
      <c r="E68" s="4">
        <v>6380.85</v>
      </c>
      <c r="F68" s="4">
        <v>6358.6</v>
      </c>
      <c r="H68" s="10">
        <f t="shared" si="0"/>
        <v>-3.4869962465815681E-3</v>
      </c>
    </row>
    <row r="69" spans="1:8">
      <c r="A69" s="2">
        <v>45652</v>
      </c>
      <c r="B69" s="4">
        <v>6420</v>
      </c>
      <c r="C69" s="4">
        <v>6468.1</v>
      </c>
      <c r="D69" s="4">
        <v>6325</v>
      </c>
      <c r="E69" s="4">
        <v>6423.2</v>
      </c>
      <c r="F69" s="4">
        <v>6380.85</v>
      </c>
      <c r="H69" s="10">
        <f t="shared" ref="H69:H132" si="1">(F69-E69)/E69</f>
        <v>-6.5932868352222345E-3</v>
      </c>
    </row>
    <row r="70" spans="1:8">
      <c r="A70" s="2">
        <v>45650</v>
      </c>
      <c r="B70" s="4">
        <v>6457.45</v>
      </c>
      <c r="C70" s="4">
        <v>6498</v>
      </c>
      <c r="D70" s="4">
        <v>6365</v>
      </c>
      <c r="E70" s="4">
        <v>6457.45</v>
      </c>
      <c r="F70" s="4">
        <v>6423.2</v>
      </c>
      <c r="H70" s="10">
        <f t="shared" si="1"/>
        <v>-5.3039512501064662E-3</v>
      </c>
    </row>
    <row r="71" spans="1:8">
      <c r="A71" s="2">
        <v>45649</v>
      </c>
      <c r="B71" s="4">
        <v>6490</v>
      </c>
      <c r="C71" s="4">
        <v>6496</v>
      </c>
      <c r="D71" s="4">
        <v>6337.7</v>
      </c>
      <c r="E71" s="4">
        <v>6488.2</v>
      </c>
      <c r="F71" s="4">
        <v>6457.45</v>
      </c>
      <c r="H71" s="10">
        <f t="shared" si="1"/>
        <v>-4.7393730156283717E-3</v>
      </c>
    </row>
    <row r="72" spans="1:8">
      <c r="A72" s="2">
        <v>45646</v>
      </c>
      <c r="B72" s="4">
        <v>6441</v>
      </c>
      <c r="C72" s="4">
        <v>6534</v>
      </c>
      <c r="D72" s="4">
        <v>6440</v>
      </c>
      <c r="E72" s="4">
        <v>6500.75</v>
      </c>
      <c r="F72" s="4">
        <v>6488.2</v>
      </c>
      <c r="H72" s="10">
        <f t="shared" si="1"/>
        <v>-1.9305464754067118E-3</v>
      </c>
    </row>
    <row r="73" spans="1:8">
      <c r="A73" s="2">
        <v>45645</v>
      </c>
      <c r="B73" s="4">
        <v>6442.15</v>
      </c>
      <c r="C73" s="4">
        <v>6534.9</v>
      </c>
      <c r="D73" s="4">
        <v>6378.5</v>
      </c>
      <c r="E73" s="4">
        <v>6482.15</v>
      </c>
      <c r="F73" s="4">
        <v>6500.75</v>
      </c>
      <c r="H73" s="10">
        <f t="shared" si="1"/>
        <v>2.8694183257098904E-3</v>
      </c>
    </row>
    <row r="74" spans="1:8">
      <c r="A74" s="2">
        <v>45644</v>
      </c>
      <c r="B74" s="4">
        <v>6548</v>
      </c>
      <c r="C74" s="4">
        <v>6643.9</v>
      </c>
      <c r="D74" s="4">
        <v>6442.55</v>
      </c>
      <c r="E74" s="4">
        <v>6529.1</v>
      </c>
      <c r="F74" s="4">
        <v>6482.15</v>
      </c>
      <c r="H74" s="10">
        <f t="shared" si="1"/>
        <v>-7.1908838890506694E-3</v>
      </c>
    </row>
    <row r="75" spans="1:8">
      <c r="A75" s="2">
        <v>45643</v>
      </c>
      <c r="B75" s="4">
        <v>6649</v>
      </c>
      <c r="C75" s="4">
        <v>6663.95</v>
      </c>
      <c r="D75" s="4">
        <v>6500</v>
      </c>
      <c r="E75" s="4">
        <v>6602.5</v>
      </c>
      <c r="F75" s="4">
        <v>6529.1</v>
      </c>
      <c r="H75" s="10">
        <f t="shared" si="1"/>
        <v>-1.1117001135933304E-2</v>
      </c>
    </row>
    <row r="76" spans="1:8">
      <c r="A76" s="2">
        <v>45642</v>
      </c>
      <c r="B76" s="4">
        <v>6654</v>
      </c>
      <c r="C76" s="4">
        <v>6724</v>
      </c>
      <c r="D76" s="4">
        <v>6585</v>
      </c>
      <c r="E76" s="4">
        <v>6624.45</v>
      </c>
      <c r="F76" s="4">
        <v>6602.5</v>
      </c>
      <c r="H76" s="10">
        <f t="shared" si="1"/>
        <v>-3.3134826287465101E-3</v>
      </c>
    </row>
    <row r="77" spans="1:8">
      <c r="A77" s="2">
        <v>45639</v>
      </c>
      <c r="B77" s="4">
        <v>6650.9</v>
      </c>
      <c r="C77" s="4">
        <v>6674.5</v>
      </c>
      <c r="D77" s="4">
        <v>6500.05</v>
      </c>
      <c r="E77" s="4">
        <v>6650.4</v>
      </c>
      <c r="F77" s="4">
        <v>6624.45</v>
      </c>
      <c r="H77" s="10">
        <f t="shared" si="1"/>
        <v>-3.9020209310717882E-3</v>
      </c>
    </row>
    <row r="78" spans="1:8">
      <c r="A78" s="2">
        <v>45638</v>
      </c>
      <c r="B78" s="4">
        <v>6616</v>
      </c>
      <c r="C78" s="4">
        <v>6674</v>
      </c>
      <c r="D78" s="4">
        <v>6555</v>
      </c>
      <c r="E78" s="4">
        <v>6618</v>
      </c>
      <c r="F78" s="4">
        <v>6650.4</v>
      </c>
      <c r="H78" s="10">
        <f t="shared" si="1"/>
        <v>4.8957388939256021E-3</v>
      </c>
    </row>
    <row r="79" spans="1:8">
      <c r="A79" s="2">
        <v>45637</v>
      </c>
      <c r="B79" s="4">
        <v>6625</v>
      </c>
      <c r="C79" s="4">
        <v>6642.45</v>
      </c>
      <c r="D79" s="4">
        <v>6595</v>
      </c>
      <c r="E79" s="4">
        <v>6629.05</v>
      </c>
      <c r="F79" s="4">
        <v>6618</v>
      </c>
      <c r="H79" s="10">
        <f t="shared" si="1"/>
        <v>-1.6669055143648309E-3</v>
      </c>
    </row>
    <row r="80" spans="1:8">
      <c r="A80" s="2">
        <v>45636</v>
      </c>
      <c r="B80" s="4">
        <v>6700</v>
      </c>
      <c r="C80" s="4">
        <v>6745</v>
      </c>
      <c r="D80" s="4">
        <v>6620.3</v>
      </c>
      <c r="E80" s="4">
        <v>6639.3</v>
      </c>
      <c r="F80" s="4">
        <v>6629.05</v>
      </c>
      <c r="H80" s="10">
        <f t="shared" si="1"/>
        <v>-1.5438374527435121E-3</v>
      </c>
    </row>
    <row r="81" spans="1:8">
      <c r="A81" s="2">
        <v>45635</v>
      </c>
      <c r="B81" s="4">
        <v>6680.55</v>
      </c>
      <c r="C81" s="4">
        <v>6741.55</v>
      </c>
      <c r="D81" s="4">
        <v>6586.15</v>
      </c>
      <c r="E81" s="4">
        <v>6646</v>
      </c>
      <c r="F81" s="4">
        <v>6639.3</v>
      </c>
      <c r="H81" s="10">
        <f t="shared" si="1"/>
        <v>-1.0081251880830302E-3</v>
      </c>
    </row>
    <row r="82" spans="1:8">
      <c r="A82" s="2">
        <v>45632</v>
      </c>
      <c r="B82" s="4">
        <v>6605</v>
      </c>
      <c r="C82" s="4">
        <v>6691</v>
      </c>
      <c r="D82" s="4">
        <v>6590</v>
      </c>
      <c r="E82" s="4">
        <v>6624.1</v>
      </c>
      <c r="F82" s="4">
        <v>6646</v>
      </c>
      <c r="H82" s="10">
        <f t="shared" si="1"/>
        <v>3.3061095092162913E-3</v>
      </c>
    </row>
    <row r="83" spans="1:8">
      <c r="A83" s="2">
        <v>45631</v>
      </c>
      <c r="B83" s="4">
        <v>6719.9</v>
      </c>
      <c r="C83" s="4">
        <v>6733.65</v>
      </c>
      <c r="D83" s="4">
        <v>6583.35</v>
      </c>
      <c r="E83" s="4">
        <v>6665.6</v>
      </c>
      <c r="F83" s="4">
        <v>6624.1</v>
      </c>
      <c r="H83" s="10">
        <f t="shared" si="1"/>
        <v>-6.2259961593855015E-3</v>
      </c>
    </row>
    <row r="84" spans="1:8">
      <c r="A84" s="2">
        <v>45630</v>
      </c>
      <c r="B84" s="4">
        <v>6536</v>
      </c>
      <c r="C84" s="4">
        <v>6743.6</v>
      </c>
      <c r="D84" s="4">
        <v>6526</v>
      </c>
      <c r="E84" s="4">
        <v>6577.7</v>
      </c>
      <c r="F84" s="4">
        <v>6665.6</v>
      </c>
      <c r="H84" s="10">
        <f t="shared" si="1"/>
        <v>1.3363333688067341E-2</v>
      </c>
    </row>
    <row r="85" spans="1:8">
      <c r="A85" s="2">
        <v>45629</v>
      </c>
      <c r="B85" s="4">
        <v>6717.25</v>
      </c>
      <c r="C85" s="4">
        <v>6863.95</v>
      </c>
      <c r="D85" s="4">
        <v>6420</v>
      </c>
      <c r="E85" s="4">
        <v>6712.15</v>
      </c>
      <c r="F85" s="4">
        <v>6577.7</v>
      </c>
      <c r="H85" s="10">
        <f t="shared" si="1"/>
        <v>-2.0030839596850463E-2</v>
      </c>
    </row>
    <row r="86" spans="1:8">
      <c r="A86" s="2">
        <v>45628</v>
      </c>
      <c r="B86" s="4">
        <v>6598.95</v>
      </c>
      <c r="C86" s="4">
        <v>6780.45</v>
      </c>
      <c r="D86" s="4">
        <v>6585.05</v>
      </c>
      <c r="E86" s="4">
        <v>6564.2</v>
      </c>
      <c r="F86" s="4">
        <v>6712.15</v>
      </c>
      <c r="H86" s="10">
        <f t="shared" si="1"/>
        <v>2.2538923250357976E-2</v>
      </c>
    </row>
    <row r="87" spans="1:8">
      <c r="A87" s="2">
        <v>45625</v>
      </c>
      <c r="B87" s="4">
        <v>6547</v>
      </c>
      <c r="C87" s="4">
        <v>6590</v>
      </c>
      <c r="D87" s="4">
        <v>6462.8</v>
      </c>
      <c r="E87" s="4">
        <v>6501.65</v>
      </c>
      <c r="F87" s="4">
        <v>6564.2</v>
      </c>
      <c r="H87" s="10">
        <f t="shared" si="1"/>
        <v>9.6206347619450724E-3</v>
      </c>
    </row>
    <row r="88" spans="1:8">
      <c r="A88" s="2">
        <v>45624</v>
      </c>
      <c r="B88" s="4">
        <v>6537.95</v>
      </c>
      <c r="C88" s="4">
        <v>6537.95</v>
      </c>
      <c r="D88" s="4">
        <v>6442.15</v>
      </c>
      <c r="E88" s="4">
        <v>6490.55</v>
      </c>
      <c r="F88" s="4">
        <v>6501.65</v>
      </c>
      <c r="H88" s="10">
        <f t="shared" si="1"/>
        <v>1.7101786443366824E-3</v>
      </c>
    </row>
    <row r="89" spans="1:8">
      <c r="A89" s="2">
        <v>45623</v>
      </c>
      <c r="B89" s="4">
        <v>6545</v>
      </c>
      <c r="C89" s="4">
        <v>6595.9</v>
      </c>
      <c r="D89" s="4">
        <v>6460</v>
      </c>
      <c r="E89" s="4">
        <v>6458.8</v>
      </c>
      <c r="F89" s="4">
        <v>6490.55</v>
      </c>
      <c r="H89" s="10">
        <f t="shared" si="1"/>
        <v>4.9157738279556572E-3</v>
      </c>
    </row>
    <row r="90" spans="1:8">
      <c r="A90" s="2">
        <v>45622</v>
      </c>
      <c r="B90" s="4">
        <v>6476.05</v>
      </c>
      <c r="C90" s="4">
        <v>6580.35</v>
      </c>
      <c r="D90" s="4">
        <v>6392.35</v>
      </c>
      <c r="E90" s="4">
        <v>6457.15</v>
      </c>
      <c r="F90" s="4">
        <v>6458.8</v>
      </c>
      <c r="H90" s="10">
        <f t="shared" si="1"/>
        <v>2.5553069078471861E-4</v>
      </c>
    </row>
    <row r="91" spans="1:8">
      <c r="A91" s="2">
        <v>45621</v>
      </c>
      <c r="B91" s="4">
        <v>6395</v>
      </c>
      <c r="C91" s="4">
        <v>6490</v>
      </c>
      <c r="D91" s="4">
        <v>6309.3</v>
      </c>
      <c r="E91" s="4">
        <v>6319.85</v>
      </c>
      <c r="F91" s="4">
        <v>6457.15</v>
      </c>
      <c r="H91" s="10">
        <f t="shared" si="1"/>
        <v>2.1725199174030912E-2</v>
      </c>
    </row>
    <row r="92" spans="1:8">
      <c r="A92" s="2">
        <v>45618</v>
      </c>
      <c r="B92" s="4">
        <v>6306.2</v>
      </c>
      <c r="C92" s="4">
        <v>6449.95</v>
      </c>
      <c r="D92" s="4">
        <v>6294.4</v>
      </c>
      <c r="E92" s="4">
        <v>6305.45</v>
      </c>
      <c r="F92" s="4">
        <v>6319.85</v>
      </c>
      <c r="H92" s="10">
        <f t="shared" si="1"/>
        <v>2.2837386705152757E-3</v>
      </c>
    </row>
    <row r="93" spans="1:8">
      <c r="A93" s="2">
        <v>45617</v>
      </c>
      <c r="B93" s="4">
        <v>6549.8</v>
      </c>
      <c r="C93" s="4">
        <v>6549.8</v>
      </c>
      <c r="D93" s="4">
        <v>6220</v>
      </c>
      <c r="E93" s="4">
        <v>6496.65</v>
      </c>
      <c r="F93" s="4">
        <v>6305.45</v>
      </c>
      <c r="H93" s="10">
        <f t="shared" si="1"/>
        <v>-2.943055266945269E-2</v>
      </c>
    </row>
    <row r="94" spans="1:8">
      <c r="A94" s="2">
        <v>45615</v>
      </c>
      <c r="B94" s="4">
        <v>6490.5</v>
      </c>
      <c r="C94" s="4">
        <v>6599.95</v>
      </c>
      <c r="D94" s="4">
        <v>6453.45</v>
      </c>
      <c r="E94" s="4">
        <v>6415.65</v>
      </c>
      <c r="F94" s="4">
        <v>6496.65</v>
      </c>
      <c r="H94" s="10">
        <f t="shared" si="1"/>
        <v>1.2625377007785651E-2</v>
      </c>
    </row>
    <row r="95" spans="1:8">
      <c r="A95" s="2">
        <v>45614</v>
      </c>
      <c r="B95" s="4">
        <v>6735.05</v>
      </c>
      <c r="C95" s="4">
        <v>6773.5</v>
      </c>
      <c r="D95" s="4">
        <v>6359.1</v>
      </c>
      <c r="E95" s="4">
        <v>6772.95</v>
      </c>
      <c r="F95" s="4">
        <v>6415.65</v>
      </c>
      <c r="H95" s="10">
        <f t="shared" si="1"/>
        <v>-5.2753969835891333E-2</v>
      </c>
    </row>
    <row r="96" spans="1:8">
      <c r="A96" s="2">
        <v>45610</v>
      </c>
      <c r="B96" s="4">
        <v>7100</v>
      </c>
      <c r="C96" s="4">
        <v>7130.75</v>
      </c>
      <c r="D96" s="4">
        <v>6680.35</v>
      </c>
      <c r="E96" s="4">
        <v>7128.65</v>
      </c>
      <c r="F96" s="4">
        <v>6772.95</v>
      </c>
      <c r="H96" s="10">
        <f t="shared" si="1"/>
        <v>-4.9897245621541221E-2</v>
      </c>
    </row>
    <row r="97" spans="1:8">
      <c r="A97" s="2">
        <v>45609</v>
      </c>
      <c r="B97" s="4">
        <v>7390</v>
      </c>
      <c r="C97" s="4">
        <v>7390</v>
      </c>
      <c r="D97" s="4">
        <v>7095.35</v>
      </c>
      <c r="E97" s="4">
        <v>7404.55</v>
      </c>
      <c r="F97" s="4">
        <v>7128.65</v>
      </c>
      <c r="H97" s="10">
        <f t="shared" si="1"/>
        <v>-3.7260873381907145E-2</v>
      </c>
    </row>
    <row r="98" spans="1:8">
      <c r="A98" s="2">
        <v>45608</v>
      </c>
      <c r="B98" s="4">
        <v>7255</v>
      </c>
      <c r="C98" s="4">
        <v>7777</v>
      </c>
      <c r="D98" s="4">
        <v>7216.55</v>
      </c>
      <c r="E98" s="4">
        <v>7256.45</v>
      </c>
      <c r="F98" s="4">
        <v>7404.55</v>
      </c>
      <c r="H98" s="10">
        <f t="shared" si="1"/>
        <v>2.0409428852951564E-2</v>
      </c>
    </row>
    <row r="99" spans="1:8">
      <c r="A99" s="2">
        <v>45607</v>
      </c>
      <c r="B99" s="4">
        <v>7350</v>
      </c>
      <c r="C99" s="4">
        <v>7350.05</v>
      </c>
      <c r="D99" s="4">
        <v>7215.55</v>
      </c>
      <c r="E99" s="4">
        <v>7306.8</v>
      </c>
      <c r="F99" s="4">
        <v>7256.45</v>
      </c>
      <c r="H99" s="10">
        <f t="shared" si="1"/>
        <v>-6.8908414080035528E-3</v>
      </c>
    </row>
    <row r="100" spans="1:8">
      <c r="A100" s="2">
        <v>45604</v>
      </c>
      <c r="B100" s="4">
        <v>7519.05</v>
      </c>
      <c r="C100" s="4">
        <v>7560</v>
      </c>
      <c r="D100" s="4">
        <v>7261.5</v>
      </c>
      <c r="E100" s="4">
        <v>7519.05</v>
      </c>
      <c r="F100" s="4">
        <v>7306.8</v>
      </c>
      <c r="H100" s="10">
        <f t="shared" si="1"/>
        <v>-2.8228300117701038E-2</v>
      </c>
    </row>
    <row r="101" spans="1:8">
      <c r="A101" s="2">
        <v>45603</v>
      </c>
      <c r="B101" s="4">
        <v>7680</v>
      </c>
      <c r="C101" s="4">
        <v>7680</v>
      </c>
      <c r="D101" s="4">
        <v>7480</v>
      </c>
      <c r="E101" s="4">
        <v>7611.75</v>
      </c>
      <c r="F101" s="4">
        <v>7519.05</v>
      </c>
      <c r="H101" s="10">
        <f t="shared" si="1"/>
        <v>-1.2178539757611564E-2</v>
      </c>
    </row>
    <row r="102" spans="1:8">
      <c r="A102" s="2">
        <v>45602</v>
      </c>
      <c r="B102" s="4">
        <v>7458.05</v>
      </c>
      <c r="C102" s="4">
        <v>7675</v>
      </c>
      <c r="D102" s="4">
        <v>7425.05</v>
      </c>
      <c r="E102" s="4">
        <v>7490.6</v>
      </c>
      <c r="F102" s="4">
        <v>7611.75</v>
      </c>
      <c r="H102" s="10">
        <f t="shared" si="1"/>
        <v>1.6173604250660778E-2</v>
      </c>
    </row>
    <row r="103" spans="1:8">
      <c r="A103" s="2">
        <v>45601</v>
      </c>
      <c r="B103" s="4">
        <v>7325</v>
      </c>
      <c r="C103" s="4">
        <v>7660.7</v>
      </c>
      <c r="D103" s="4">
        <v>7232.05</v>
      </c>
      <c r="E103" s="4">
        <v>7351.45</v>
      </c>
      <c r="F103" s="4">
        <v>7490.6</v>
      </c>
      <c r="H103" s="10">
        <f t="shared" si="1"/>
        <v>1.8928238646797647E-2</v>
      </c>
    </row>
    <row r="104" spans="1:8">
      <c r="A104" s="2">
        <v>45600</v>
      </c>
      <c r="B104" s="4">
        <v>7550</v>
      </c>
      <c r="C104" s="4">
        <v>7550</v>
      </c>
      <c r="D104" s="4">
        <v>7215.55</v>
      </c>
      <c r="E104" s="4">
        <v>7550.95</v>
      </c>
      <c r="F104" s="4">
        <v>7351.45</v>
      </c>
      <c r="H104" s="10">
        <f t="shared" si="1"/>
        <v>-2.6420516623736085E-2</v>
      </c>
    </row>
    <row r="105" spans="1:8">
      <c r="A105" s="2">
        <v>45597</v>
      </c>
      <c r="B105" s="4">
        <v>7600</v>
      </c>
      <c r="C105" s="4">
        <v>7600</v>
      </c>
      <c r="D105" s="4">
        <v>7460.7</v>
      </c>
      <c r="E105" s="4">
        <v>7624.9</v>
      </c>
      <c r="F105" s="4">
        <v>7550.95</v>
      </c>
      <c r="H105" s="10">
        <f t="shared" si="1"/>
        <v>-9.6984878490209477E-3</v>
      </c>
    </row>
    <row r="106" spans="1:8">
      <c r="A106" s="2">
        <v>45596</v>
      </c>
      <c r="B106" s="4">
        <v>7305</v>
      </c>
      <c r="C106" s="4">
        <v>7695.7</v>
      </c>
      <c r="D106" s="4">
        <v>7243.45</v>
      </c>
      <c r="E106" s="4">
        <v>7339.1</v>
      </c>
      <c r="F106" s="4">
        <v>7624.9</v>
      </c>
      <c r="H106" s="10">
        <f t="shared" si="1"/>
        <v>3.8942104617732322E-2</v>
      </c>
    </row>
    <row r="107" spans="1:8">
      <c r="A107" s="2">
        <v>45595</v>
      </c>
      <c r="B107" s="4">
        <v>7340.7</v>
      </c>
      <c r="C107" s="4">
        <v>7434.15</v>
      </c>
      <c r="D107" s="4">
        <v>7281.35</v>
      </c>
      <c r="E107" s="4">
        <v>7340</v>
      </c>
      <c r="F107" s="4">
        <v>7339.1</v>
      </c>
      <c r="H107" s="10">
        <f t="shared" si="1"/>
        <v>-1.2261580381466434E-4</v>
      </c>
    </row>
    <row r="108" spans="1:8">
      <c r="A108" s="2">
        <v>45594</v>
      </c>
      <c r="B108" s="4">
        <v>7088.25</v>
      </c>
      <c r="C108" s="4">
        <v>7497.45</v>
      </c>
      <c r="D108" s="4">
        <v>6955</v>
      </c>
      <c r="E108" s="4">
        <v>7060.8</v>
      </c>
      <c r="F108" s="4">
        <v>7340</v>
      </c>
      <c r="H108" s="10">
        <f t="shared" si="1"/>
        <v>3.9542261500113272E-2</v>
      </c>
    </row>
    <row r="109" spans="1:8">
      <c r="A109" s="2">
        <v>45593</v>
      </c>
      <c r="B109" s="4">
        <v>7142.2</v>
      </c>
      <c r="C109" s="4">
        <v>7160.75</v>
      </c>
      <c r="D109" s="4">
        <v>7038.1</v>
      </c>
      <c r="E109" s="4">
        <v>7142.2</v>
      </c>
      <c r="F109" s="4">
        <v>7060.8</v>
      </c>
      <c r="H109" s="10">
        <f t="shared" si="1"/>
        <v>-1.1397048528464569E-2</v>
      </c>
    </row>
    <row r="110" spans="1:8">
      <c r="A110" s="2">
        <v>45590</v>
      </c>
      <c r="B110" s="4">
        <v>7155.05</v>
      </c>
      <c r="C110" s="4">
        <v>7205.3</v>
      </c>
      <c r="D110" s="4">
        <v>7025</v>
      </c>
      <c r="E110" s="4">
        <v>7155.25</v>
      </c>
      <c r="F110" s="4">
        <v>7142.2</v>
      </c>
      <c r="H110" s="10">
        <f t="shared" si="1"/>
        <v>-1.8238356451556804E-3</v>
      </c>
    </row>
    <row r="111" spans="1:8">
      <c r="A111" s="2">
        <v>45589</v>
      </c>
      <c r="B111" s="4">
        <v>7223.25</v>
      </c>
      <c r="C111" s="4">
        <v>7229.1</v>
      </c>
      <c r="D111" s="4">
        <v>7110</v>
      </c>
      <c r="E111" s="4">
        <v>7223.25</v>
      </c>
      <c r="F111" s="4">
        <v>7155.25</v>
      </c>
      <c r="H111" s="10">
        <f t="shared" si="1"/>
        <v>-9.4140449243761467E-3</v>
      </c>
    </row>
    <row r="112" spans="1:8">
      <c r="A112" s="2">
        <v>45588</v>
      </c>
      <c r="B112" s="4">
        <v>7248</v>
      </c>
      <c r="C112" s="4">
        <v>7295</v>
      </c>
      <c r="D112" s="4">
        <v>7075</v>
      </c>
      <c r="E112" s="4">
        <v>7190.6</v>
      </c>
      <c r="F112" s="4">
        <v>7223.25</v>
      </c>
      <c r="H112" s="10">
        <f t="shared" si="1"/>
        <v>4.5406502934386053E-3</v>
      </c>
    </row>
    <row r="113" spans="1:8">
      <c r="A113" s="2">
        <v>45587</v>
      </c>
      <c r="B113" s="4">
        <v>7421</v>
      </c>
      <c r="C113" s="4">
        <v>7421</v>
      </c>
      <c r="D113" s="4">
        <v>7170.2</v>
      </c>
      <c r="E113" s="4">
        <v>7392.15</v>
      </c>
      <c r="F113" s="4">
        <v>7190.6</v>
      </c>
      <c r="H113" s="10">
        <f t="shared" si="1"/>
        <v>-2.7265409928099307E-2</v>
      </c>
    </row>
    <row r="114" spans="1:8">
      <c r="A114" s="2">
        <v>45586</v>
      </c>
      <c r="B114" s="4">
        <v>7550</v>
      </c>
      <c r="C114" s="4">
        <v>7550</v>
      </c>
      <c r="D114" s="4">
        <v>7311.5</v>
      </c>
      <c r="E114" s="4">
        <v>7520.3</v>
      </c>
      <c r="F114" s="4">
        <v>7392.15</v>
      </c>
      <c r="H114" s="10">
        <f t="shared" si="1"/>
        <v>-1.7040543595335366E-2</v>
      </c>
    </row>
    <row r="115" spans="1:8">
      <c r="A115" s="2">
        <v>45583</v>
      </c>
      <c r="B115" s="4">
        <v>7642.95</v>
      </c>
      <c r="C115" s="4">
        <v>7659.95</v>
      </c>
      <c r="D115" s="4">
        <v>7306.05</v>
      </c>
      <c r="E115" s="4">
        <v>7627.45</v>
      </c>
      <c r="F115" s="4">
        <v>7520.3</v>
      </c>
      <c r="H115" s="10">
        <f t="shared" si="1"/>
        <v>-1.4047945250378519E-2</v>
      </c>
    </row>
    <row r="116" spans="1:8">
      <c r="A116" s="2">
        <v>45582</v>
      </c>
      <c r="B116" s="4">
        <v>7649.75</v>
      </c>
      <c r="C116" s="4">
        <v>7773.85</v>
      </c>
      <c r="D116" s="4">
        <v>7520.85</v>
      </c>
      <c r="E116" s="4">
        <v>7649.75</v>
      </c>
      <c r="F116" s="4">
        <v>7627.45</v>
      </c>
      <c r="H116" s="10">
        <f t="shared" si="1"/>
        <v>-2.9151279453577153E-3</v>
      </c>
    </row>
    <row r="117" spans="1:8">
      <c r="A117" s="2">
        <v>45581</v>
      </c>
      <c r="B117" s="4">
        <v>7661.65</v>
      </c>
      <c r="C117" s="4">
        <v>7820</v>
      </c>
      <c r="D117" s="4">
        <v>7592.05</v>
      </c>
      <c r="E117" s="4">
        <v>7615.95</v>
      </c>
      <c r="F117" s="4">
        <v>7649.75</v>
      </c>
      <c r="H117" s="10">
        <f t="shared" si="1"/>
        <v>4.4380543464702608E-3</v>
      </c>
    </row>
    <row r="118" spans="1:8">
      <c r="A118" s="2">
        <v>45580</v>
      </c>
      <c r="B118" s="4">
        <v>7778.3</v>
      </c>
      <c r="C118" s="4">
        <v>7778.3</v>
      </c>
      <c r="D118" s="4">
        <v>7575</v>
      </c>
      <c r="E118" s="4">
        <v>7697.45</v>
      </c>
      <c r="F118" s="4">
        <v>7615.95</v>
      </c>
      <c r="H118" s="10">
        <f t="shared" si="1"/>
        <v>-1.0587921974160273E-2</v>
      </c>
    </row>
    <row r="119" spans="1:8">
      <c r="A119" s="2">
        <v>45579</v>
      </c>
      <c r="B119" s="4">
        <v>7800</v>
      </c>
      <c r="C119" s="4">
        <v>7914.95</v>
      </c>
      <c r="D119" s="4">
        <v>7613</v>
      </c>
      <c r="E119" s="4">
        <v>7789.2</v>
      </c>
      <c r="F119" s="4">
        <v>7697.45</v>
      </c>
      <c r="H119" s="10">
        <f t="shared" si="1"/>
        <v>-1.1779130077543266E-2</v>
      </c>
    </row>
    <row r="120" spans="1:8">
      <c r="A120" s="2">
        <v>45576</v>
      </c>
      <c r="B120" s="4">
        <v>7789.95</v>
      </c>
      <c r="C120" s="4">
        <v>7951</v>
      </c>
      <c r="D120" s="4">
        <v>7722.1</v>
      </c>
      <c r="E120" s="4">
        <v>7739.7</v>
      </c>
      <c r="F120" s="4">
        <v>7789.2</v>
      </c>
      <c r="H120" s="10">
        <f t="shared" si="1"/>
        <v>6.3955967285553705E-3</v>
      </c>
    </row>
    <row r="121" spans="1:8">
      <c r="A121" s="2">
        <v>45575</v>
      </c>
      <c r="B121" s="4">
        <v>7879.85</v>
      </c>
      <c r="C121" s="4">
        <v>7880.65</v>
      </c>
      <c r="D121" s="4">
        <v>7704</v>
      </c>
      <c r="E121" s="4">
        <v>7880.65</v>
      </c>
      <c r="F121" s="4">
        <v>7739.7</v>
      </c>
      <c r="H121" s="10">
        <f t="shared" si="1"/>
        <v>-1.7885580504146209E-2</v>
      </c>
    </row>
    <row r="122" spans="1:8">
      <c r="A122" s="2">
        <v>45574</v>
      </c>
      <c r="B122" s="4">
        <v>7859.9</v>
      </c>
      <c r="C122" s="4">
        <v>8094</v>
      </c>
      <c r="D122" s="4">
        <v>7802</v>
      </c>
      <c r="E122" s="4">
        <v>7784.6</v>
      </c>
      <c r="F122" s="4">
        <v>7880.65</v>
      </c>
      <c r="H122" s="10">
        <f t="shared" si="1"/>
        <v>1.2338463119492236E-2</v>
      </c>
    </row>
    <row r="123" spans="1:8">
      <c r="A123" s="2">
        <v>45573</v>
      </c>
      <c r="B123" s="4">
        <v>7700</v>
      </c>
      <c r="C123" s="4">
        <v>7935</v>
      </c>
      <c r="D123" s="4">
        <v>7661.9</v>
      </c>
      <c r="E123" s="4">
        <v>7845.55</v>
      </c>
      <c r="F123" s="4">
        <v>7784.6</v>
      </c>
      <c r="H123" s="10">
        <f t="shared" si="1"/>
        <v>-7.7687351428516573E-3</v>
      </c>
    </row>
    <row r="124" spans="1:8">
      <c r="A124" s="2">
        <v>45572</v>
      </c>
      <c r="B124" s="4">
        <v>7442.65</v>
      </c>
      <c r="C124" s="4">
        <v>8139</v>
      </c>
      <c r="D124" s="4">
        <v>7440</v>
      </c>
      <c r="E124" s="4">
        <v>7436.7</v>
      </c>
      <c r="F124" s="4">
        <v>7845.55</v>
      </c>
      <c r="H124" s="10">
        <f t="shared" si="1"/>
        <v>5.4977342100662976E-2</v>
      </c>
    </row>
    <row r="125" spans="1:8">
      <c r="A125" s="2">
        <v>45569</v>
      </c>
      <c r="B125" s="4">
        <v>7636.55</v>
      </c>
      <c r="C125" s="4">
        <v>7699.9</v>
      </c>
      <c r="D125" s="4">
        <v>7374.9</v>
      </c>
      <c r="E125" s="4">
        <v>7636.75</v>
      </c>
      <c r="F125" s="4">
        <v>7436.7</v>
      </c>
      <c r="H125" s="10">
        <f t="shared" si="1"/>
        <v>-2.61956984319246E-2</v>
      </c>
    </row>
    <row r="126" spans="1:8">
      <c r="A126" s="2">
        <v>45568</v>
      </c>
      <c r="B126" s="4">
        <v>7690</v>
      </c>
      <c r="C126" s="4">
        <v>7880</v>
      </c>
      <c r="D126" s="4">
        <v>7514.95</v>
      </c>
      <c r="E126" s="4">
        <v>7734.5</v>
      </c>
      <c r="F126" s="4">
        <v>7636.75</v>
      </c>
      <c r="H126" s="10">
        <f t="shared" si="1"/>
        <v>-1.2638179584976405E-2</v>
      </c>
    </row>
    <row r="127" spans="1:8">
      <c r="A127" s="2">
        <v>45566</v>
      </c>
      <c r="B127" s="4">
        <v>7735.05</v>
      </c>
      <c r="C127" s="4">
        <v>7925</v>
      </c>
      <c r="D127" s="4">
        <v>7685</v>
      </c>
      <c r="E127" s="4">
        <v>7970.05</v>
      </c>
      <c r="F127" s="4">
        <v>7734.5</v>
      </c>
      <c r="H127" s="10">
        <f t="shared" si="1"/>
        <v>-2.9554394263524089E-2</v>
      </c>
    </row>
    <row r="128" spans="1:8">
      <c r="A128" s="2">
        <v>45565</v>
      </c>
      <c r="B128" s="4">
        <v>7150</v>
      </c>
      <c r="C128" s="4">
        <v>8137.5</v>
      </c>
      <c r="D128" s="4">
        <v>7125.05</v>
      </c>
      <c r="E128" s="4">
        <v>7185.6</v>
      </c>
      <c r="F128" s="4">
        <v>7970.05</v>
      </c>
      <c r="H128" s="10">
        <f t="shared" si="1"/>
        <v>0.10916972834558002</v>
      </c>
    </row>
    <row r="129" spans="1:8">
      <c r="A129" s="2">
        <v>45562</v>
      </c>
      <c r="B129" s="4">
        <v>7300</v>
      </c>
      <c r="C129" s="4">
        <v>7355.8</v>
      </c>
      <c r="D129" s="4">
        <v>7155.55</v>
      </c>
      <c r="E129" s="4">
        <v>7340.65</v>
      </c>
      <c r="F129" s="4">
        <v>7185.6</v>
      </c>
      <c r="H129" s="10">
        <f t="shared" si="1"/>
        <v>-2.1122107715256726E-2</v>
      </c>
    </row>
    <row r="130" spans="1:8">
      <c r="A130" s="2">
        <v>45561</v>
      </c>
      <c r="B130" s="4">
        <v>7533</v>
      </c>
      <c r="C130" s="4">
        <v>7533</v>
      </c>
      <c r="D130" s="4">
        <v>7301</v>
      </c>
      <c r="E130" s="4">
        <v>7528.85</v>
      </c>
      <c r="F130" s="4">
        <v>7340.65</v>
      </c>
      <c r="H130" s="10">
        <f t="shared" si="1"/>
        <v>-2.4997177523791908E-2</v>
      </c>
    </row>
    <row r="131" spans="1:8">
      <c r="A131" s="2">
        <v>45560</v>
      </c>
      <c r="B131" s="4">
        <v>7635.05</v>
      </c>
      <c r="C131" s="4">
        <v>7777.6</v>
      </c>
      <c r="D131" s="4">
        <v>7465.75</v>
      </c>
      <c r="E131" s="4">
        <v>7878.25</v>
      </c>
      <c r="F131" s="4">
        <v>7528.85</v>
      </c>
      <c r="H131" s="10">
        <f t="shared" si="1"/>
        <v>-4.4349950813949754E-2</v>
      </c>
    </row>
    <row r="132" spans="1:8">
      <c r="A132" s="2">
        <v>45559</v>
      </c>
      <c r="B132" s="4">
        <v>6900</v>
      </c>
      <c r="C132" s="4">
        <v>8040</v>
      </c>
      <c r="D132" s="4">
        <v>6851.3</v>
      </c>
      <c r="E132" s="4">
        <v>6748.1</v>
      </c>
      <c r="F132" s="4">
        <v>7878.25</v>
      </c>
      <c r="H132" s="10">
        <f t="shared" si="1"/>
        <v>0.16747677123931173</v>
      </c>
    </row>
    <row r="133" spans="1:8">
      <c r="A133" s="2">
        <v>45558</v>
      </c>
      <c r="B133" s="4">
        <v>6938.9</v>
      </c>
      <c r="C133" s="4">
        <v>6974.95</v>
      </c>
      <c r="D133" s="4">
        <v>6721.8</v>
      </c>
      <c r="E133" s="4">
        <v>6872.95</v>
      </c>
      <c r="F133" s="4">
        <v>6748.1</v>
      </c>
      <c r="H133" s="10">
        <f t="shared" ref="H133:H196" si="2">(F133-E133)/E133</f>
        <v>-1.8165416596948831E-2</v>
      </c>
    </row>
    <row r="134" spans="1:8">
      <c r="A134" s="2">
        <v>45555</v>
      </c>
      <c r="B134" s="4">
        <v>6785</v>
      </c>
      <c r="C134" s="4">
        <v>6894</v>
      </c>
      <c r="D134" s="4">
        <v>6680</v>
      </c>
      <c r="E134" s="4">
        <v>6716.25</v>
      </c>
      <c r="F134" s="4">
        <v>6872.95</v>
      </c>
      <c r="H134" s="10">
        <f t="shared" si="2"/>
        <v>2.3331472175693254E-2</v>
      </c>
    </row>
    <row r="135" spans="1:8">
      <c r="A135" s="2">
        <v>45554</v>
      </c>
      <c r="B135" s="4">
        <v>6731.45</v>
      </c>
      <c r="C135" s="4">
        <v>6785.1</v>
      </c>
      <c r="D135" s="4">
        <v>6529.6</v>
      </c>
      <c r="E135" s="4">
        <v>6715.5</v>
      </c>
      <c r="F135" s="4">
        <v>6716.25</v>
      </c>
      <c r="H135" s="10">
        <f t="shared" si="2"/>
        <v>1.1168192986374804E-4</v>
      </c>
    </row>
    <row r="136" spans="1:8">
      <c r="A136" s="2">
        <v>45553</v>
      </c>
      <c r="B136" s="4">
        <v>6669</v>
      </c>
      <c r="C136" s="4">
        <v>6788.85</v>
      </c>
      <c r="D136" s="4">
        <v>6619.55</v>
      </c>
      <c r="E136" s="4">
        <v>6657.45</v>
      </c>
      <c r="F136" s="4">
        <v>6715.5</v>
      </c>
      <c r="H136" s="10">
        <f t="shared" si="2"/>
        <v>8.7195547844895836E-3</v>
      </c>
    </row>
    <row r="137" spans="1:8">
      <c r="A137" s="2">
        <v>45552</v>
      </c>
      <c r="B137" s="4">
        <v>6749.8</v>
      </c>
      <c r="C137" s="4">
        <v>6749.8</v>
      </c>
      <c r="D137" s="4">
        <v>6603.55</v>
      </c>
      <c r="E137" s="4">
        <v>6747.35</v>
      </c>
      <c r="F137" s="4">
        <v>6657.45</v>
      </c>
      <c r="H137" s="10">
        <f t="shared" si="2"/>
        <v>-1.3323749323808686E-2</v>
      </c>
    </row>
    <row r="138" spans="1:8">
      <c r="A138" s="2">
        <v>45551</v>
      </c>
      <c r="B138" s="4">
        <v>6722.05</v>
      </c>
      <c r="C138" s="4">
        <v>6832.35</v>
      </c>
      <c r="D138" s="4">
        <v>6722.05</v>
      </c>
      <c r="E138" s="4">
        <v>6799.6</v>
      </c>
      <c r="F138" s="4">
        <v>6747.35</v>
      </c>
      <c r="H138" s="10">
        <f t="shared" si="2"/>
        <v>-7.6842755456203301E-3</v>
      </c>
    </row>
    <row r="139" spans="1:8">
      <c r="A139" s="2">
        <v>45548</v>
      </c>
      <c r="B139" s="4">
        <v>6915</v>
      </c>
      <c r="C139" s="4">
        <v>6915</v>
      </c>
      <c r="D139" s="4">
        <v>6771.45</v>
      </c>
      <c r="E139" s="4">
        <v>6827.9</v>
      </c>
      <c r="F139" s="4">
        <v>6799.6</v>
      </c>
      <c r="H139" s="10">
        <f t="shared" si="2"/>
        <v>-4.1447590035002379E-3</v>
      </c>
    </row>
    <row r="140" spans="1:8">
      <c r="A140" s="2">
        <v>45547</v>
      </c>
      <c r="B140" s="4">
        <v>6951.1</v>
      </c>
      <c r="C140" s="4">
        <v>6966.4</v>
      </c>
      <c r="D140" s="4">
        <v>6801.35</v>
      </c>
      <c r="E140" s="4">
        <v>6902.75</v>
      </c>
      <c r="F140" s="4">
        <v>6827.9</v>
      </c>
      <c r="H140" s="10">
        <f t="shared" si="2"/>
        <v>-1.0843504400420175E-2</v>
      </c>
    </row>
    <row r="141" spans="1:8">
      <c r="A141" s="2">
        <v>45546</v>
      </c>
      <c r="B141" s="4">
        <v>6874.8</v>
      </c>
      <c r="C141" s="4">
        <v>6995</v>
      </c>
      <c r="D141" s="4">
        <v>6846.2</v>
      </c>
      <c r="E141" s="4">
        <v>6881</v>
      </c>
      <c r="F141" s="4">
        <v>6902.75</v>
      </c>
      <c r="H141" s="10">
        <f t="shared" si="2"/>
        <v>3.16087777939253E-3</v>
      </c>
    </row>
    <row r="142" spans="1:8">
      <c r="A142" s="2">
        <v>45545</v>
      </c>
      <c r="B142" s="4">
        <v>7089.95</v>
      </c>
      <c r="C142" s="4">
        <v>7089.95</v>
      </c>
      <c r="D142" s="4">
        <v>6802.85</v>
      </c>
      <c r="E142" s="4">
        <v>6792.85</v>
      </c>
      <c r="F142" s="4">
        <v>6881</v>
      </c>
      <c r="H142" s="10">
        <f t="shared" si="2"/>
        <v>1.2976880101871768E-2</v>
      </c>
    </row>
    <row r="143" spans="1:8">
      <c r="A143" s="2">
        <v>45544</v>
      </c>
      <c r="B143" s="4">
        <v>6878.05</v>
      </c>
      <c r="C143" s="4">
        <v>6878.05</v>
      </c>
      <c r="D143" s="4">
        <v>6719.65</v>
      </c>
      <c r="E143" s="4">
        <v>6884.4</v>
      </c>
      <c r="F143" s="4">
        <v>6792.85</v>
      </c>
      <c r="H143" s="10">
        <f t="shared" si="2"/>
        <v>-1.3298181395618976E-2</v>
      </c>
    </row>
    <row r="144" spans="1:8">
      <c r="A144" s="2">
        <v>45541</v>
      </c>
      <c r="B144" s="4">
        <v>6875.4</v>
      </c>
      <c r="C144" s="4">
        <v>7309.9</v>
      </c>
      <c r="D144" s="4">
        <v>6845.6</v>
      </c>
      <c r="E144" s="4">
        <v>6889.65</v>
      </c>
      <c r="F144" s="4">
        <v>6884.4</v>
      </c>
      <c r="H144" s="10">
        <f t="shared" si="2"/>
        <v>-7.6201258409353163E-4</v>
      </c>
    </row>
    <row r="145" spans="1:8">
      <c r="A145" s="2">
        <v>45540</v>
      </c>
      <c r="B145" s="4">
        <v>6950.2</v>
      </c>
      <c r="C145" s="4">
        <v>7123.45</v>
      </c>
      <c r="D145" s="4">
        <v>6867.55</v>
      </c>
      <c r="E145" s="4">
        <v>6900.2</v>
      </c>
      <c r="F145" s="4">
        <v>6889.65</v>
      </c>
      <c r="H145" s="10">
        <f t="shared" si="2"/>
        <v>-1.528941190110458E-3</v>
      </c>
    </row>
    <row r="146" spans="1:8">
      <c r="A146" s="2">
        <v>45539</v>
      </c>
      <c r="B146" s="4">
        <v>6880</v>
      </c>
      <c r="C146" s="4">
        <v>7060</v>
      </c>
      <c r="D146" s="4">
        <v>6844.5</v>
      </c>
      <c r="E146" s="4">
        <v>6876.9</v>
      </c>
      <c r="F146" s="4">
        <v>6900.2</v>
      </c>
      <c r="H146" s="10">
        <f t="shared" si="2"/>
        <v>3.3881545463799361E-3</v>
      </c>
    </row>
    <row r="147" spans="1:8">
      <c r="A147" s="2">
        <v>45538</v>
      </c>
      <c r="B147" s="4">
        <v>6746.65</v>
      </c>
      <c r="C147" s="4">
        <v>6989</v>
      </c>
      <c r="D147" s="4">
        <v>6714.05</v>
      </c>
      <c r="E147" s="4">
        <v>6707.85</v>
      </c>
      <c r="F147" s="4">
        <v>6876.9</v>
      </c>
      <c r="H147" s="10">
        <f t="shared" si="2"/>
        <v>2.5201815783000403E-2</v>
      </c>
    </row>
    <row r="148" spans="1:8">
      <c r="A148" s="2">
        <v>45537</v>
      </c>
      <c r="B148" s="4">
        <v>6594.95</v>
      </c>
      <c r="C148" s="4">
        <v>6795</v>
      </c>
      <c r="D148" s="4">
        <v>6367.55</v>
      </c>
      <c r="E148" s="4">
        <v>6586.65</v>
      </c>
      <c r="F148" s="4">
        <v>6707.85</v>
      </c>
      <c r="H148" s="10">
        <f t="shared" si="2"/>
        <v>1.840085627747045E-2</v>
      </c>
    </row>
    <row r="149" spans="1:8">
      <c r="A149" s="2">
        <v>45534</v>
      </c>
      <c r="B149" s="4">
        <v>6661.5</v>
      </c>
      <c r="C149" s="4">
        <v>6718.8</v>
      </c>
      <c r="D149" s="4">
        <v>6534</v>
      </c>
      <c r="E149" s="4">
        <v>6661.5</v>
      </c>
      <c r="F149" s="4">
        <v>6586.65</v>
      </c>
      <c r="H149" s="10">
        <f t="shared" si="2"/>
        <v>-1.1236208061247522E-2</v>
      </c>
    </row>
    <row r="150" spans="1:8">
      <c r="A150" s="2">
        <v>45533</v>
      </c>
      <c r="B150" s="4">
        <v>6710</v>
      </c>
      <c r="C150" s="4">
        <v>6748.95</v>
      </c>
      <c r="D150" s="4">
        <v>6632.9</v>
      </c>
      <c r="E150" s="4">
        <v>6737.3</v>
      </c>
      <c r="F150" s="4">
        <v>6661.5</v>
      </c>
      <c r="H150" s="10">
        <f t="shared" si="2"/>
        <v>-1.125079779733724E-2</v>
      </c>
    </row>
    <row r="151" spans="1:8">
      <c r="A151" s="2">
        <v>45532</v>
      </c>
      <c r="B151" s="4">
        <v>6795</v>
      </c>
      <c r="C151" s="4">
        <v>6860</v>
      </c>
      <c r="D151" s="4">
        <v>6719.95</v>
      </c>
      <c r="E151" s="4">
        <v>6754.65</v>
      </c>
      <c r="F151" s="4">
        <v>6737.3</v>
      </c>
      <c r="H151" s="10">
        <f t="shared" si="2"/>
        <v>-2.5686008897573458E-3</v>
      </c>
    </row>
    <row r="152" spans="1:8">
      <c r="A152" s="2">
        <v>45531</v>
      </c>
      <c r="B152" s="4">
        <v>6873</v>
      </c>
      <c r="C152" s="4">
        <v>6899.75</v>
      </c>
      <c r="D152" s="4">
        <v>6727.65</v>
      </c>
      <c r="E152" s="4">
        <v>6873</v>
      </c>
      <c r="F152" s="4">
        <v>6754.65</v>
      </c>
      <c r="H152" s="10">
        <f t="shared" si="2"/>
        <v>-1.7219554779572294E-2</v>
      </c>
    </row>
    <row r="153" spans="1:8">
      <c r="A153" s="2">
        <v>45530</v>
      </c>
      <c r="B153" s="4">
        <v>6850.5</v>
      </c>
      <c r="C153" s="4">
        <v>6983.95</v>
      </c>
      <c r="D153" s="4">
        <v>6829.2</v>
      </c>
      <c r="E153" s="4">
        <v>6850.35</v>
      </c>
      <c r="F153" s="4">
        <v>6873</v>
      </c>
      <c r="H153" s="10">
        <f t="shared" si="2"/>
        <v>3.3064004028990688E-3</v>
      </c>
    </row>
    <row r="154" spans="1:8">
      <c r="A154" s="2">
        <v>45527</v>
      </c>
      <c r="B154" s="4">
        <v>6780.35</v>
      </c>
      <c r="C154" s="4">
        <v>6915.65</v>
      </c>
      <c r="D154" s="4">
        <v>6780.35</v>
      </c>
      <c r="E154" s="4">
        <v>6780.35</v>
      </c>
      <c r="F154" s="4">
        <v>6850.35</v>
      </c>
      <c r="H154" s="10">
        <f t="shared" si="2"/>
        <v>1.0323950828497054E-2</v>
      </c>
    </row>
    <row r="155" spans="1:8">
      <c r="A155" s="2">
        <v>45526</v>
      </c>
      <c r="B155" s="4">
        <v>6627.75</v>
      </c>
      <c r="C155" s="4">
        <v>6886.5</v>
      </c>
      <c r="D155" s="4">
        <v>6565</v>
      </c>
      <c r="E155" s="4">
        <v>6627.75</v>
      </c>
      <c r="F155" s="4">
        <v>6780.35</v>
      </c>
      <c r="H155" s="10">
        <f t="shared" si="2"/>
        <v>2.3024404963977271E-2</v>
      </c>
    </row>
    <row r="156" spans="1:8">
      <c r="A156" s="2">
        <v>45525</v>
      </c>
      <c r="B156" s="4">
        <v>6599.9</v>
      </c>
      <c r="C156" s="4">
        <v>6671.45</v>
      </c>
      <c r="D156" s="4">
        <v>6540.8</v>
      </c>
      <c r="E156" s="4">
        <v>6555.45</v>
      </c>
      <c r="F156" s="4">
        <v>6627.75</v>
      </c>
      <c r="H156" s="10">
        <f t="shared" si="2"/>
        <v>1.1028991144772697E-2</v>
      </c>
    </row>
    <row r="157" spans="1:8">
      <c r="A157" s="2">
        <v>45524</v>
      </c>
      <c r="B157" s="4">
        <v>6621</v>
      </c>
      <c r="C157" s="4">
        <v>6671.85</v>
      </c>
      <c r="D157" s="4">
        <v>6520.35</v>
      </c>
      <c r="E157" s="4">
        <v>6625.5</v>
      </c>
      <c r="F157" s="4">
        <v>6555.45</v>
      </c>
      <c r="H157" s="10">
        <f t="shared" si="2"/>
        <v>-1.0572786959474783E-2</v>
      </c>
    </row>
    <row r="158" spans="1:8">
      <c r="A158" s="2">
        <v>45523</v>
      </c>
      <c r="B158" s="4">
        <v>6659</v>
      </c>
      <c r="C158" s="4">
        <v>6705.05</v>
      </c>
      <c r="D158" s="4">
        <v>6596.4</v>
      </c>
      <c r="E158" s="4">
        <v>6637.2</v>
      </c>
      <c r="F158" s="4">
        <v>6625.5</v>
      </c>
      <c r="H158" s="10">
        <f t="shared" si="2"/>
        <v>-1.7627915386005874E-3</v>
      </c>
    </row>
    <row r="159" spans="1:8">
      <c r="A159" s="2">
        <v>45520</v>
      </c>
      <c r="B159" s="4">
        <v>6589.7</v>
      </c>
      <c r="C159" s="4">
        <v>6656</v>
      </c>
      <c r="D159" s="4">
        <v>6531.05</v>
      </c>
      <c r="E159" s="4">
        <v>6569.5</v>
      </c>
      <c r="F159" s="4">
        <v>6637.2</v>
      </c>
      <c r="H159" s="10">
        <f t="shared" si="2"/>
        <v>1.0305198264708094E-2</v>
      </c>
    </row>
    <row r="160" spans="1:8">
      <c r="A160" s="2">
        <v>45518</v>
      </c>
      <c r="B160" s="4">
        <v>6574.35</v>
      </c>
      <c r="C160" s="4">
        <v>6639.8</v>
      </c>
      <c r="D160" s="4">
        <v>6464.65</v>
      </c>
      <c r="E160" s="4">
        <v>6595.25</v>
      </c>
      <c r="F160" s="4">
        <v>6569.5</v>
      </c>
      <c r="H160" s="10">
        <f t="shared" si="2"/>
        <v>-3.9043250824456997E-3</v>
      </c>
    </row>
    <row r="161" spans="1:8">
      <c r="A161" s="2">
        <v>45517</v>
      </c>
      <c r="B161" s="4">
        <v>7196.4</v>
      </c>
      <c r="C161" s="4">
        <v>7196.4</v>
      </c>
      <c r="D161" s="4">
        <v>6525</v>
      </c>
      <c r="E161" s="4">
        <v>6535.55</v>
      </c>
      <c r="F161" s="4">
        <v>6595.25</v>
      </c>
      <c r="H161" s="10">
        <f t="shared" si="2"/>
        <v>9.134655843808067E-3</v>
      </c>
    </row>
    <row r="162" spans="1:8">
      <c r="A162" s="2">
        <v>45516</v>
      </c>
      <c r="B162" s="4">
        <v>6705.05</v>
      </c>
      <c r="C162" s="4">
        <v>6720</v>
      </c>
      <c r="D162" s="4">
        <v>6501</v>
      </c>
      <c r="E162" s="4">
        <v>6705.05</v>
      </c>
      <c r="F162" s="4">
        <v>6535.55</v>
      </c>
      <c r="H162" s="10">
        <f t="shared" si="2"/>
        <v>-2.5279453546207708E-2</v>
      </c>
    </row>
    <row r="163" spans="1:8">
      <c r="A163" s="2">
        <v>45513</v>
      </c>
      <c r="B163" s="4">
        <v>6640</v>
      </c>
      <c r="C163" s="4">
        <v>6799</v>
      </c>
      <c r="D163" s="4">
        <v>6625.1</v>
      </c>
      <c r="E163" s="4">
        <v>6622.65</v>
      </c>
      <c r="F163" s="4">
        <v>6705.05</v>
      </c>
      <c r="H163" s="10">
        <f t="shared" si="2"/>
        <v>1.2442149290691876E-2</v>
      </c>
    </row>
    <row r="164" spans="1:8">
      <c r="A164" s="2">
        <v>45512</v>
      </c>
      <c r="B164" s="4">
        <v>7100.05</v>
      </c>
      <c r="C164" s="4">
        <v>7250.05</v>
      </c>
      <c r="D164" s="4">
        <v>6540</v>
      </c>
      <c r="E164" s="4">
        <v>7090.8</v>
      </c>
      <c r="F164" s="4">
        <v>6622.65</v>
      </c>
      <c r="H164" s="10">
        <f t="shared" si="2"/>
        <v>-6.6022169571839637E-2</v>
      </c>
    </row>
    <row r="165" spans="1:8">
      <c r="A165" s="2">
        <v>45511</v>
      </c>
      <c r="B165" s="4">
        <v>7115</v>
      </c>
      <c r="C165" s="4">
        <v>7133</v>
      </c>
      <c r="D165" s="4">
        <v>6995</v>
      </c>
      <c r="E165" s="4">
        <v>6967.55</v>
      </c>
      <c r="F165" s="4">
        <v>7090.8</v>
      </c>
      <c r="H165" s="10">
        <f t="shared" si="2"/>
        <v>1.768914467782793E-2</v>
      </c>
    </row>
    <row r="166" spans="1:8">
      <c r="A166" s="2">
        <v>45510</v>
      </c>
      <c r="B166" s="4">
        <v>6808.8</v>
      </c>
      <c r="C166" s="4">
        <v>7134.9</v>
      </c>
      <c r="D166" s="4">
        <v>6808.8</v>
      </c>
      <c r="E166" s="4">
        <v>6808.8</v>
      </c>
      <c r="F166" s="4">
        <v>6967.55</v>
      </c>
      <c r="H166" s="10">
        <f t="shared" si="2"/>
        <v>2.3315415344847844E-2</v>
      </c>
    </row>
    <row r="167" spans="1:8">
      <c r="A167" s="2">
        <v>45509</v>
      </c>
      <c r="B167" s="4">
        <v>6985</v>
      </c>
      <c r="C167" s="4">
        <v>6985</v>
      </c>
      <c r="D167" s="4">
        <v>6701</v>
      </c>
      <c r="E167" s="4">
        <v>7039.8</v>
      </c>
      <c r="F167" s="4">
        <v>6808.8</v>
      </c>
      <c r="H167" s="10">
        <f t="shared" si="2"/>
        <v>-3.2813432199778399E-2</v>
      </c>
    </row>
    <row r="168" spans="1:8">
      <c r="A168" s="2">
        <v>45506</v>
      </c>
      <c r="B168" s="4">
        <v>7000.25</v>
      </c>
      <c r="C168" s="4">
        <v>7099</v>
      </c>
      <c r="D168" s="4">
        <v>6925</v>
      </c>
      <c r="E168" s="4">
        <v>7044.45</v>
      </c>
      <c r="F168" s="4">
        <v>7039.8</v>
      </c>
      <c r="H168" s="10">
        <f t="shared" si="2"/>
        <v>-6.6009411664496676E-4</v>
      </c>
    </row>
    <row r="169" spans="1:8">
      <c r="A169" s="2">
        <v>45505</v>
      </c>
      <c r="B169" s="4">
        <v>7108.05</v>
      </c>
      <c r="C169" s="4">
        <v>7123.7</v>
      </c>
      <c r="D169" s="4">
        <v>6968.85</v>
      </c>
      <c r="E169" s="4">
        <v>7036.45</v>
      </c>
      <c r="F169" s="4">
        <v>7044.45</v>
      </c>
      <c r="H169" s="10">
        <f t="shared" si="2"/>
        <v>1.1369369497402811E-3</v>
      </c>
    </row>
    <row r="170" spans="1:8">
      <c r="A170" s="2">
        <v>45504</v>
      </c>
      <c r="B170" s="4">
        <v>6931</v>
      </c>
      <c r="C170" s="4">
        <v>7180</v>
      </c>
      <c r="D170" s="4">
        <v>6931</v>
      </c>
      <c r="E170" s="4">
        <v>6991.75</v>
      </c>
      <c r="F170" s="4">
        <v>7036.45</v>
      </c>
      <c r="H170" s="10">
        <f t="shared" si="2"/>
        <v>6.3932491865412548E-3</v>
      </c>
    </row>
    <row r="171" spans="1:8">
      <c r="A171" s="2">
        <v>45503</v>
      </c>
      <c r="B171" s="4">
        <v>7027.85</v>
      </c>
      <c r="C171" s="4">
        <v>7062.45</v>
      </c>
      <c r="D171" s="4">
        <v>6953.85</v>
      </c>
      <c r="E171" s="4">
        <v>7027.85</v>
      </c>
      <c r="F171" s="4">
        <v>6991.75</v>
      </c>
      <c r="H171" s="10">
        <f t="shared" si="2"/>
        <v>-5.1367061049966013E-3</v>
      </c>
    </row>
    <row r="172" spans="1:8">
      <c r="A172" s="2">
        <v>45502</v>
      </c>
      <c r="B172" s="4">
        <v>7181</v>
      </c>
      <c r="C172" s="4">
        <v>7234.35</v>
      </c>
      <c r="D172" s="4">
        <v>6975.4</v>
      </c>
      <c r="E172" s="4">
        <v>7172.6</v>
      </c>
      <c r="F172" s="4">
        <v>7027.85</v>
      </c>
      <c r="H172" s="10">
        <f t="shared" si="2"/>
        <v>-2.0180966455678552E-2</v>
      </c>
    </row>
    <row r="173" spans="1:8">
      <c r="A173" s="2">
        <v>45499</v>
      </c>
      <c r="B173" s="4">
        <v>6997.95</v>
      </c>
      <c r="C173" s="4">
        <v>7388.6</v>
      </c>
      <c r="D173" s="4">
        <v>6946.95</v>
      </c>
      <c r="E173" s="4">
        <v>6939.65</v>
      </c>
      <c r="F173" s="4">
        <v>7172.6</v>
      </c>
      <c r="H173" s="10">
        <f t="shared" si="2"/>
        <v>3.3567975330168053E-2</v>
      </c>
    </row>
    <row r="174" spans="1:8">
      <c r="A174" s="2">
        <v>45498</v>
      </c>
      <c r="B174" s="4">
        <v>6939.9</v>
      </c>
      <c r="C174" s="4">
        <v>7085</v>
      </c>
      <c r="D174" s="4">
        <v>6888</v>
      </c>
      <c r="E174" s="4">
        <v>7081.7</v>
      </c>
      <c r="F174" s="4">
        <v>6939.65</v>
      </c>
      <c r="H174" s="10">
        <f t="shared" si="2"/>
        <v>-2.0058742957199567E-2</v>
      </c>
    </row>
    <row r="175" spans="1:8">
      <c r="A175" s="2">
        <v>45497</v>
      </c>
      <c r="B175" s="4">
        <v>7099.7</v>
      </c>
      <c r="C175" s="4">
        <v>7189</v>
      </c>
      <c r="D175" s="4">
        <v>6875.1</v>
      </c>
      <c r="E175" s="4">
        <v>7067.6</v>
      </c>
      <c r="F175" s="4">
        <v>7081.7</v>
      </c>
      <c r="H175" s="10">
        <f t="shared" si="2"/>
        <v>1.9950195257229402E-3</v>
      </c>
    </row>
    <row r="176" spans="1:8">
      <c r="A176" s="2">
        <v>45496</v>
      </c>
      <c r="B176" s="4">
        <v>6249.8</v>
      </c>
      <c r="C176" s="4">
        <v>7361.95</v>
      </c>
      <c r="D176" s="4">
        <v>6225</v>
      </c>
      <c r="E176" s="4">
        <v>6247.05</v>
      </c>
      <c r="F176" s="4">
        <v>7067.6</v>
      </c>
      <c r="H176" s="10">
        <f t="shared" si="2"/>
        <v>0.13134999719867779</v>
      </c>
    </row>
    <row r="177" spans="1:8">
      <c r="A177" s="2">
        <v>45495</v>
      </c>
      <c r="B177" s="4">
        <v>6289.05</v>
      </c>
      <c r="C177" s="4">
        <v>6338</v>
      </c>
      <c r="D177" s="4">
        <v>6230</v>
      </c>
      <c r="E177" s="4">
        <v>6347.8</v>
      </c>
      <c r="F177" s="4">
        <v>6247.05</v>
      </c>
      <c r="H177" s="10">
        <f t="shared" si="2"/>
        <v>-1.5871640568385897E-2</v>
      </c>
    </row>
    <row r="178" spans="1:8">
      <c r="A178" s="2">
        <v>45492</v>
      </c>
      <c r="B178" s="4">
        <v>6469.8</v>
      </c>
      <c r="C178" s="4">
        <v>6510.3</v>
      </c>
      <c r="D178" s="4">
        <v>6307.4</v>
      </c>
      <c r="E178" s="4">
        <v>6452.05</v>
      </c>
      <c r="F178" s="4">
        <v>6347.8</v>
      </c>
      <c r="H178" s="10">
        <f t="shared" si="2"/>
        <v>-1.6157655318852146E-2</v>
      </c>
    </row>
    <row r="179" spans="1:8">
      <c r="A179" s="2">
        <v>45491</v>
      </c>
      <c r="B179" s="4">
        <v>6565.8</v>
      </c>
      <c r="C179" s="4">
        <v>6615.55</v>
      </c>
      <c r="D179" s="4">
        <v>6431.95</v>
      </c>
      <c r="E179" s="4">
        <v>6565.8</v>
      </c>
      <c r="F179" s="4">
        <v>6452.05</v>
      </c>
      <c r="H179" s="10">
        <f t="shared" si="2"/>
        <v>-1.7324621523652866E-2</v>
      </c>
    </row>
    <row r="180" spans="1:8">
      <c r="A180" s="2">
        <v>45489</v>
      </c>
      <c r="B180" s="4">
        <v>6610.7</v>
      </c>
      <c r="C180" s="4">
        <v>6850</v>
      </c>
      <c r="D180" s="4">
        <v>6551</v>
      </c>
      <c r="E180" s="4">
        <v>6610.75</v>
      </c>
      <c r="F180" s="4">
        <v>6565.8</v>
      </c>
      <c r="H180" s="10">
        <f t="shared" si="2"/>
        <v>-6.7995310668229501E-3</v>
      </c>
    </row>
    <row r="181" spans="1:8">
      <c r="A181" s="2">
        <v>45488</v>
      </c>
      <c r="B181" s="4">
        <v>6750.2</v>
      </c>
      <c r="C181" s="4">
        <v>6790</v>
      </c>
      <c r="D181" s="4">
        <v>6575.55</v>
      </c>
      <c r="E181" s="4">
        <v>6750.25</v>
      </c>
      <c r="F181" s="4">
        <v>6610.75</v>
      </c>
      <c r="H181" s="10">
        <f t="shared" si="2"/>
        <v>-2.0665901262916189E-2</v>
      </c>
    </row>
    <row r="182" spans="1:8">
      <c r="A182" s="2">
        <v>45485</v>
      </c>
      <c r="B182" s="4">
        <v>6878.35</v>
      </c>
      <c r="C182" s="4">
        <v>6896.6</v>
      </c>
      <c r="D182" s="4">
        <v>6700</v>
      </c>
      <c r="E182" s="4">
        <v>6878.35</v>
      </c>
      <c r="F182" s="4">
        <v>6750.25</v>
      </c>
      <c r="H182" s="10">
        <f t="shared" si="2"/>
        <v>-1.8623652474794153E-2</v>
      </c>
    </row>
    <row r="183" spans="1:8">
      <c r="A183" s="2">
        <v>45484</v>
      </c>
      <c r="B183" s="4">
        <v>6815</v>
      </c>
      <c r="C183" s="4">
        <v>6999.9</v>
      </c>
      <c r="D183" s="4">
        <v>6741.5</v>
      </c>
      <c r="E183" s="4">
        <v>6753.35</v>
      </c>
      <c r="F183" s="4">
        <v>6878.35</v>
      </c>
      <c r="H183" s="10">
        <f t="shared" si="2"/>
        <v>1.8509332405398801E-2</v>
      </c>
    </row>
    <row r="184" spans="1:8">
      <c r="A184" s="2">
        <v>45483</v>
      </c>
      <c r="B184" s="4">
        <v>6932.55</v>
      </c>
      <c r="C184" s="4">
        <v>6932.55</v>
      </c>
      <c r="D184" s="4">
        <v>6720.5</v>
      </c>
      <c r="E184" s="4">
        <v>6924.55</v>
      </c>
      <c r="F184" s="4">
        <v>6753.35</v>
      </c>
      <c r="H184" s="10">
        <f t="shared" si="2"/>
        <v>-2.4723628250211179E-2</v>
      </c>
    </row>
    <row r="185" spans="1:8">
      <c r="A185" s="2">
        <v>45482</v>
      </c>
      <c r="B185" s="4">
        <v>6800</v>
      </c>
      <c r="C185" s="4">
        <v>6949</v>
      </c>
      <c r="D185" s="4">
        <v>6696.25</v>
      </c>
      <c r="E185" s="4">
        <v>6737.85</v>
      </c>
      <c r="F185" s="4">
        <v>6924.55</v>
      </c>
      <c r="H185" s="10">
        <f t="shared" si="2"/>
        <v>2.7709135703525577E-2</v>
      </c>
    </row>
    <row r="186" spans="1:8">
      <c r="A186" s="2">
        <v>45481</v>
      </c>
      <c r="B186" s="4">
        <v>6860</v>
      </c>
      <c r="C186" s="4">
        <v>6860</v>
      </c>
      <c r="D186" s="4">
        <v>6725.55</v>
      </c>
      <c r="E186" s="4">
        <v>6895.75</v>
      </c>
      <c r="F186" s="4">
        <v>6737.85</v>
      </c>
      <c r="H186" s="10">
        <f t="shared" si="2"/>
        <v>-2.2898161911322139E-2</v>
      </c>
    </row>
    <row r="187" spans="1:8">
      <c r="A187" s="2">
        <v>45478</v>
      </c>
      <c r="B187" s="4">
        <v>7190</v>
      </c>
      <c r="C187" s="4">
        <v>7190</v>
      </c>
      <c r="D187" s="4">
        <v>6849.15</v>
      </c>
      <c r="E187" s="4">
        <v>7128.85</v>
      </c>
      <c r="F187" s="4">
        <v>6895.75</v>
      </c>
      <c r="H187" s="10">
        <f t="shared" si="2"/>
        <v>-3.2698121015311075E-2</v>
      </c>
    </row>
    <row r="188" spans="1:8">
      <c r="A188" s="2">
        <v>45477</v>
      </c>
      <c r="B188" s="4">
        <v>6399</v>
      </c>
      <c r="C188" s="4">
        <v>7572.2</v>
      </c>
      <c r="D188" s="4">
        <v>6398.1</v>
      </c>
      <c r="E188" s="4">
        <v>6398.1</v>
      </c>
      <c r="F188" s="4">
        <v>7128.85</v>
      </c>
      <c r="H188" s="10">
        <f t="shared" si="2"/>
        <v>0.11421359466091495</v>
      </c>
    </row>
    <row r="189" spans="1:8">
      <c r="A189" s="2">
        <v>45476</v>
      </c>
      <c r="B189" s="4">
        <v>6369</v>
      </c>
      <c r="C189" s="4">
        <v>6514.9</v>
      </c>
      <c r="D189" s="4">
        <v>6350</v>
      </c>
      <c r="E189" s="4">
        <v>6363.9</v>
      </c>
      <c r="F189" s="4">
        <v>6398.1</v>
      </c>
      <c r="H189" s="10">
        <f t="shared" si="2"/>
        <v>5.3740630745298841E-3</v>
      </c>
    </row>
    <row r="190" spans="1:8">
      <c r="A190" s="2">
        <v>45475</v>
      </c>
      <c r="B190" s="4">
        <v>6408.25</v>
      </c>
      <c r="C190" s="4">
        <v>6540.9</v>
      </c>
      <c r="D190" s="4">
        <v>6300.3</v>
      </c>
      <c r="E190" s="4">
        <v>6393.4</v>
      </c>
      <c r="F190" s="4">
        <v>6363.9</v>
      </c>
      <c r="H190" s="10">
        <f t="shared" si="2"/>
        <v>-4.6141333249913978E-3</v>
      </c>
    </row>
    <row r="191" spans="1:8">
      <c r="A191" s="2">
        <v>45474</v>
      </c>
      <c r="B191" s="4">
        <v>6225</v>
      </c>
      <c r="C191" s="4">
        <v>6482</v>
      </c>
      <c r="D191" s="4">
        <v>6150</v>
      </c>
      <c r="E191" s="4">
        <v>6250.75</v>
      </c>
      <c r="F191" s="4">
        <v>6393.4</v>
      </c>
      <c r="H191" s="10">
        <f t="shared" si="2"/>
        <v>2.2821261448626107E-2</v>
      </c>
    </row>
    <row r="192" spans="1:8">
      <c r="A192" s="2">
        <v>45471</v>
      </c>
      <c r="B192" s="4">
        <v>6429</v>
      </c>
      <c r="C192" s="4">
        <v>6999</v>
      </c>
      <c r="D192" s="4">
        <v>6206.25</v>
      </c>
      <c r="E192" s="4">
        <v>6379.85</v>
      </c>
      <c r="F192" s="4">
        <v>6250.75</v>
      </c>
      <c r="H192" s="10">
        <f t="shared" si="2"/>
        <v>-2.0235585476147615E-2</v>
      </c>
    </row>
    <row r="193" spans="1:8">
      <c r="A193" s="2">
        <v>45470</v>
      </c>
      <c r="B193" s="4">
        <v>6435.6</v>
      </c>
      <c r="C193" s="4">
        <v>6444</v>
      </c>
      <c r="D193" s="4">
        <v>6280</v>
      </c>
      <c r="E193" s="4">
        <v>6388.95</v>
      </c>
      <c r="F193" s="4">
        <v>6379.85</v>
      </c>
      <c r="H193" s="10">
        <f t="shared" si="2"/>
        <v>-1.424334202020591E-3</v>
      </c>
    </row>
    <row r="194" spans="1:8">
      <c r="A194" s="2">
        <v>45469</v>
      </c>
      <c r="B194" s="4">
        <v>6280.05</v>
      </c>
      <c r="C194" s="4">
        <v>6449.95</v>
      </c>
      <c r="D194" s="4">
        <v>6069.7</v>
      </c>
      <c r="E194" s="4">
        <v>6328.95</v>
      </c>
      <c r="F194" s="4">
        <v>6388.95</v>
      </c>
      <c r="H194" s="10">
        <f t="shared" si="2"/>
        <v>9.4802455383594438E-3</v>
      </c>
    </row>
    <row r="195" spans="1:8">
      <c r="A195" s="2">
        <v>45468</v>
      </c>
      <c r="B195" s="4">
        <v>6369</v>
      </c>
      <c r="C195" s="4">
        <v>6385</v>
      </c>
      <c r="D195" s="4">
        <v>6277.65</v>
      </c>
      <c r="E195" s="4">
        <v>6317.55</v>
      </c>
      <c r="F195" s="4">
        <v>6328.95</v>
      </c>
      <c r="H195" s="10">
        <f t="shared" si="2"/>
        <v>1.8044969964621784E-3</v>
      </c>
    </row>
    <row r="196" spans="1:8">
      <c r="A196" s="2">
        <v>45467</v>
      </c>
      <c r="B196" s="4">
        <v>6340.25</v>
      </c>
      <c r="C196" s="4">
        <v>6490</v>
      </c>
      <c r="D196" s="4">
        <v>6252.5</v>
      </c>
      <c r="E196" s="4">
        <v>6357.1</v>
      </c>
      <c r="F196" s="4">
        <v>6317.55</v>
      </c>
      <c r="H196" s="10">
        <f t="shared" si="2"/>
        <v>-6.2213902565635554E-3</v>
      </c>
    </row>
    <row r="197" spans="1:8">
      <c r="A197" s="2">
        <v>45464</v>
      </c>
      <c r="B197" s="4">
        <v>6380</v>
      </c>
      <c r="C197" s="4">
        <v>6500</v>
      </c>
      <c r="D197" s="4">
        <v>6330</v>
      </c>
      <c r="E197" s="4">
        <v>6382.4</v>
      </c>
      <c r="F197" s="4">
        <v>6357.1</v>
      </c>
      <c r="H197" s="10">
        <f t="shared" ref="H197:H252" si="3">(F197-E197)/E197</f>
        <v>-3.9640260716970535E-3</v>
      </c>
    </row>
    <row r="198" spans="1:8">
      <c r="A198" s="2">
        <v>45463</v>
      </c>
      <c r="B198" s="4">
        <v>6380</v>
      </c>
      <c r="C198" s="4">
        <v>6444.75</v>
      </c>
      <c r="D198" s="4">
        <v>6345.35</v>
      </c>
      <c r="E198" s="4">
        <v>6379.45</v>
      </c>
      <c r="F198" s="4">
        <v>6382.4</v>
      </c>
      <c r="H198" s="10">
        <f t="shared" si="3"/>
        <v>4.6242230913320399E-4</v>
      </c>
    </row>
    <row r="199" spans="1:8">
      <c r="A199" s="2">
        <v>45462</v>
      </c>
      <c r="B199" s="4">
        <v>6535.9</v>
      </c>
      <c r="C199" s="4">
        <v>6538.95</v>
      </c>
      <c r="D199" s="4">
        <v>6302</v>
      </c>
      <c r="E199" s="4">
        <v>6439.3</v>
      </c>
      <c r="F199" s="4">
        <v>6379.45</v>
      </c>
      <c r="H199" s="10">
        <f t="shared" si="3"/>
        <v>-9.2944885313621609E-3</v>
      </c>
    </row>
    <row r="200" spans="1:8">
      <c r="A200" s="2">
        <v>45461</v>
      </c>
      <c r="B200" s="4">
        <v>6549</v>
      </c>
      <c r="C200" s="4">
        <v>6549</v>
      </c>
      <c r="D200" s="4">
        <v>6380.25</v>
      </c>
      <c r="E200" s="4">
        <v>6458.55</v>
      </c>
      <c r="F200" s="4">
        <v>6439.3</v>
      </c>
      <c r="H200" s="10">
        <f t="shared" si="3"/>
        <v>-2.9805451688072401E-3</v>
      </c>
    </row>
    <row r="201" spans="1:8">
      <c r="A201" s="2">
        <v>45457</v>
      </c>
      <c r="B201" s="4">
        <v>6320</v>
      </c>
      <c r="C201" s="4">
        <v>6625</v>
      </c>
      <c r="D201" s="4">
        <v>6320</v>
      </c>
      <c r="E201" s="4">
        <v>6373.4</v>
      </c>
      <c r="F201" s="4">
        <v>6458.55</v>
      </c>
      <c r="H201" s="10">
        <f t="shared" si="3"/>
        <v>1.3360215897323335E-2</v>
      </c>
    </row>
    <row r="202" spans="1:8">
      <c r="A202" s="2">
        <v>45456</v>
      </c>
      <c r="B202" s="4">
        <v>6349.8</v>
      </c>
      <c r="C202" s="4">
        <v>6470.1</v>
      </c>
      <c r="D202" s="4">
        <v>6259.55</v>
      </c>
      <c r="E202" s="4">
        <v>6342.5</v>
      </c>
      <c r="F202" s="4">
        <v>6373.4</v>
      </c>
      <c r="H202" s="10">
        <f t="shared" si="3"/>
        <v>4.8718959400866589E-3</v>
      </c>
    </row>
    <row r="203" spans="1:8">
      <c r="A203" s="2">
        <v>45455</v>
      </c>
      <c r="B203" s="4">
        <v>6399</v>
      </c>
      <c r="C203" s="4">
        <v>6399</v>
      </c>
      <c r="D203" s="4">
        <v>6303.15</v>
      </c>
      <c r="E203" s="4">
        <v>6332.85</v>
      </c>
      <c r="F203" s="4">
        <v>6342.5</v>
      </c>
      <c r="H203" s="10">
        <f t="shared" si="3"/>
        <v>1.5238005005644593E-3</v>
      </c>
    </row>
    <row r="204" spans="1:8">
      <c r="A204" s="2">
        <v>45454</v>
      </c>
      <c r="B204" s="4">
        <v>6239.8</v>
      </c>
      <c r="C204" s="4">
        <v>6488.3</v>
      </c>
      <c r="D204" s="4">
        <v>6219.5</v>
      </c>
      <c r="E204" s="4">
        <v>6231</v>
      </c>
      <c r="F204" s="4">
        <v>6332.85</v>
      </c>
      <c r="H204" s="10">
        <f t="shared" si="3"/>
        <v>1.6345690900337082E-2</v>
      </c>
    </row>
    <row r="205" spans="1:8">
      <c r="A205" s="2">
        <v>45453</v>
      </c>
      <c r="B205" s="4">
        <v>6306.4</v>
      </c>
      <c r="C205" s="4">
        <v>6313.65</v>
      </c>
      <c r="D205" s="4">
        <v>6185.1</v>
      </c>
      <c r="E205" s="4">
        <v>6255.45</v>
      </c>
      <c r="F205" s="4">
        <v>6231</v>
      </c>
      <c r="H205" s="10">
        <f t="shared" si="3"/>
        <v>-3.9085917080305685E-3</v>
      </c>
    </row>
    <row r="206" spans="1:8">
      <c r="A206" s="2">
        <v>45450</v>
      </c>
      <c r="B206" s="4">
        <v>6200</v>
      </c>
      <c r="C206" s="4">
        <v>6330</v>
      </c>
      <c r="D206" s="4">
        <v>6167.7</v>
      </c>
      <c r="E206" s="4">
        <v>6205.15</v>
      </c>
      <c r="F206" s="4">
        <v>6255.45</v>
      </c>
      <c r="H206" s="10">
        <f t="shared" si="3"/>
        <v>8.1061698750231961E-3</v>
      </c>
    </row>
    <row r="207" spans="1:8">
      <c r="A207" s="2">
        <v>45449</v>
      </c>
      <c r="B207" s="4">
        <v>6048</v>
      </c>
      <c r="C207" s="4">
        <v>6230</v>
      </c>
      <c r="D207" s="4">
        <v>6008.45</v>
      </c>
      <c r="E207" s="4">
        <v>6012.45</v>
      </c>
      <c r="F207" s="4">
        <v>6205.15</v>
      </c>
      <c r="H207" s="10">
        <f t="shared" si="3"/>
        <v>3.2050162579314562E-2</v>
      </c>
    </row>
    <row r="208" spans="1:8">
      <c r="A208" s="2">
        <v>45448</v>
      </c>
      <c r="B208" s="4">
        <v>5660.45</v>
      </c>
      <c r="C208" s="4">
        <v>6159.4</v>
      </c>
      <c r="D208" s="4">
        <v>5609.55</v>
      </c>
      <c r="E208" s="4">
        <v>5639.8</v>
      </c>
      <c r="F208" s="4">
        <v>6012.45</v>
      </c>
      <c r="H208" s="10">
        <f t="shared" si="3"/>
        <v>6.6075038121919144E-2</v>
      </c>
    </row>
    <row r="209" spans="1:8">
      <c r="A209" s="2">
        <v>45447</v>
      </c>
      <c r="B209" s="4">
        <v>6100.05</v>
      </c>
      <c r="C209" s="4">
        <v>6150</v>
      </c>
      <c r="D209" s="4">
        <v>5468.05</v>
      </c>
      <c r="E209" s="4">
        <v>6067.15</v>
      </c>
      <c r="F209" s="4">
        <v>5639.8</v>
      </c>
      <c r="H209" s="10">
        <f t="shared" si="3"/>
        <v>-7.0436695977518185E-2</v>
      </c>
    </row>
    <row r="210" spans="1:8">
      <c r="A210" s="2">
        <v>45446</v>
      </c>
      <c r="B210" s="4">
        <v>6379</v>
      </c>
      <c r="C210" s="4">
        <v>6379</v>
      </c>
      <c r="D210" s="4">
        <v>6055.55</v>
      </c>
      <c r="E210" s="4">
        <v>6179.25</v>
      </c>
      <c r="F210" s="4">
        <v>6067.15</v>
      </c>
      <c r="H210" s="10">
        <f t="shared" si="3"/>
        <v>-1.8141360197435022E-2</v>
      </c>
    </row>
    <row r="211" spans="1:8">
      <c r="A211" s="2">
        <v>45443</v>
      </c>
      <c r="B211" s="4">
        <v>6357.95</v>
      </c>
      <c r="C211" s="4">
        <v>6368.3</v>
      </c>
      <c r="D211" s="4">
        <v>6140</v>
      </c>
      <c r="E211" s="4">
        <v>6360.8</v>
      </c>
      <c r="F211" s="4">
        <v>6179.25</v>
      </c>
      <c r="H211" s="10">
        <f t="shared" si="3"/>
        <v>-2.8542007294679941E-2</v>
      </c>
    </row>
    <row r="212" spans="1:8">
      <c r="A212" s="2">
        <v>45442</v>
      </c>
      <c r="B212" s="4">
        <v>6352</v>
      </c>
      <c r="C212" s="4">
        <v>6389.95</v>
      </c>
      <c r="D212" s="4">
        <v>6259.55</v>
      </c>
      <c r="E212" s="4">
        <v>6372.65</v>
      </c>
      <c r="F212" s="4">
        <v>6360.8</v>
      </c>
      <c r="H212" s="10">
        <f t="shared" si="3"/>
        <v>-1.8595089954727554E-3</v>
      </c>
    </row>
    <row r="213" spans="1:8">
      <c r="A213" s="2">
        <v>45441</v>
      </c>
      <c r="B213" s="4">
        <v>6241.3</v>
      </c>
      <c r="C213" s="4">
        <v>6461.9</v>
      </c>
      <c r="D213" s="4">
        <v>6241.3</v>
      </c>
      <c r="E213" s="4">
        <v>6463</v>
      </c>
      <c r="F213" s="4">
        <v>6372.65</v>
      </c>
      <c r="H213" s="10">
        <f t="shared" si="3"/>
        <v>-1.3979576048274852E-2</v>
      </c>
    </row>
    <row r="214" spans="1:8">
      <c r="A214" s="2">
        <v>45440</v>
      </c>
      <c r="B214" s="4">
        <v>6430.45</v>
      </c>
      <c r="C214" s="4">
        <v>6697</v>
      </c>
      <c r="D214" s="4">
        <v>6278.1</v>
      </c>
      <c r="E214" s="4">
        <v>6432.8</v>
      </c>
      <c r="F214" s="4">
        <v>6463</v>
      </c>
      <c r="H214" s="10">
        <f t="shared" si="3"/>
        <v>4.6946897152095228E-3</v>
      </c>
    </row>
    <row r="215" spans="1:8">
      <c r="A215" s="2">
        <v>45439</v>
      </c>
      <c r="B215" s="4">
        <v>6055.1</v>
      </c>
      <c r="C215" s="4">
        <v>6596</v>
      </c>
      <c r="D215" s="4">
        <v>6041</v>
      </c>
      <c r="E215" s="4">
        <v>6024.75</v>
      </c>
      <c r="F215" s="4">
        <v>6432.8</v>
      </c>
      <c r="H215" s="10">
        <f t="shared" si="3"/>
        <v>6.7728951408772178E-2</v>
      </c>
    </row>
    <row r="216" spans="1:8">
      <c r="A216" s="2">
        <v>45436</v>
      </c>
      <c r="B216" s="4">
        <v>5679.9</v>
      </c>
      <c r="C216" s="4">
        <v>6129.95</v>
      </c>
      <c r="D216" s="4">
        <v>5650.25</v>
      </c>
      <c r="E216" s="4">
        <v>5676.6</v>
      </c>
      <c r="F216" s="4">
        <v>6024.75</v>
      </c>
      <c r="H216" s="10">
        <f t="shared" si="3"/>
        <v>6.1330726138885884E-2</v>
      </c>
    </row>
    <row r="217" spans="1:8">
      <c r="A217" s="2">
        <v>45435</v>
      </c>
      <c r="B217" s="4">
        <v>5793.35</v>
      </c>
      <c r="C217" s="4">
        <v>5793.35</v>
      </c>
      <c r="D217" s="4">
        <v>5633</v>
      </c>
      <c r="E217" s="4">
        <v>5753.1</v>
      </c>
      <c r="F217" s="4">
        <v>5676.6</v>
      </c>
      <c r="H217" s="10">
        <f t="shared" si="3"/>
        <v>-1.3297178912238618E-2</v>
      </c>
    </row>
    <row r="218" spans="1:8">
      <c r="A218" s="2">
        <v>45434</v>
      </c>
      <c r="B218" s="4">
        <v>5799.8</v>
      </c>
      <c r="C218" s="4">
        <v>5799.8</v>
      </c>
      <c r="D218" s="4">
        <v>5675.1</v>
      </c>
      <c r="E218" s="4">
        <v>5782.75</v>
      </c>
      <c r="F218" s="4">
        <v>5753.1</v>
      </c>
      <c r="H218" s="10">
        <f t="shared" si="3"/>
        <v>-5.1273183174094742E-3</v>
      </c>
    </row>
    <row r="219" spans="1:8">
      <c r="A219" s="2">
        <v>45433</v>
      </c>
      <c r="B219" s="4">
        <v>5785</v>
      </c>
      <c r="C219" s="4">
        <v>5827.95</v>
      </c>
      <c r="D219" s="4">
        <v>5724.1</v>
      </c>
      <c r="E219" s="4">
        <v>5774</v>
      </c>
      <c r="F219" s="4">
        <v>5782.75</v>
      </c>
      <c r="H219" s="10">
        <f t="shared" si="3"/>
        <v>1.515413924489089E-3</v>
      </c>
    </row>
    <row r="220" spans="1:8">
      <c r="A220" s="2">
        <v>45430</v>
      </c>
      <c r="B220" s="4">
        <v>5800</v>
      </c>
      <c r="C220" s="4">
        <v>5852</v>
      </c>
      <c r="D220" s="4">
        <v>5725.05</v>
      </c>
      <c r="E220" s="4">
        <v>5759</v>
      </c>
      <c r="F220" s="4">
        <v>5774</v>
      </c>
      <c r="H220" s="10">
        <f t="shared" si="3"/>
        <v>2.6046188574405278E-3</v>
      </c>
    </row>
    <row r="221" spans="1:8">
      <c r="A221" s="2">
        <v>45429</v>
      </c>
      <c r="B221" s="4">
        <v>5664.95</v>
      </c>
      <c r="C221" s="4">
        <v>5841.05</v>
      </c>
      <c r="D221" s="4">
        <v>5500</v>
      </c>
      <c r="E221" s="4">
        <v>5651.9</v>
      </c>
      <c r="F221" s="4">
        <v>5759</v>
      </c>
      <c r="H221" s="10">
        <f t="shared" si="3"/>
        <v>1.894937985456225E-2</v>
      </c>
    </row>
    <row r="222" spans="1:8">
      <c r="A222" s="2">
        <v>45428</v>
      </c>
      <c r="B222" s="4">
        <v>5509</v>
      </c>
      <c r="C222" s="4">
        <v>5713.15</v>
      </c>
      <c r="D222" s="4">
        <v>5472.05</v>
      </c>
      <c r="E222" s="4">
        <v>5491.2</v>
      </c>
      <c r="F222" s="4">
        <v>5651.9</v>
      </c>
      <c r="H222" s="10">
        <f t="shared" si="3"/>
        <v>2.9265005827505797E-2</v>
      </c>
    </row>
    <row r="223" spans="1:8">
      <c r="A223" s="2">
        <v>45427</v>
      </c>
      <c r="B223" s="4">
        <v>5457.2</v>
      </c>
      <c r="C223" s="4">
        <v>5505</v>
      </c>
      <c r="D223" s="4">
        <v>5405.6</v>
      </c>
      <c r="E223" s="4">
        <v>5457.2</v>
      </c>
      <c r="F223" s="4">
        <v>5491.2</v>
      </c>
      <c r="H223" s="10">
        <f t="shared" si="3"/>
        <v>6.230301253390017E-3</v>
      </c>
    </row>
    <row r="224" spans="1:8">
      <c r="A224" s="2">
        <v>45426</v>
      </c>
      <c r="B224" s="4">
        <v>5325</v>
      </c>
      <c r="C224" s="4">
        <v>5482.5</v>
      </c>
      <c r="D224" s="4">
        <v>5311.3</v>
      </c>
      <c r="E224" s="4">
        <v>5312.55</v>
      </c>
      <c r="F224" s="4">
        <v>5457.2</v>
      </c>
      <c r="H224" s="10">
        <f t="shared" si="3"/>
        <v>2.7227979030785523E-2</v>
      </c>
    </row>
    <row r="225" spans="1:8">
      <c r="A225" s="2">
        <v>45425</v>
      </c>
      <c r="B225" s="4">
        <v>5259</v>
      </c>
      <c r="C225" s="4">
        <v>5344.55</v>
      </c>
      <c r="D225" s="4">
        <v>5140</v>
      </c>
      <c r="E225" s="4">
        <v>5259.55</v>
      </c>
      <c r="F225" s="4">
        <v>5312.55</v>
      </c>
      <c r="H225" s="10">
        <f t="shared" si="3"/>
        <v>1.0076907720242227E-2</v>
      </c>
    </row>
    <row r="226" spans="1:8">
      <c r="A226" s="2">
        <v>45422</v>
      </c>
      <c r="B226" s="4">
        <v>5106.05</v>
      </c>
      <c r="C226" s="4">
        <v>5296</v>
      </c>
      <c r="D226" s="4">
        <v>5068.6000000000004</v>
      </c>
      <c r="E226" s="4">
        <v>5132.8500000000004</v>
      </c>
      <c r="F226" s="4">
        <v>5259.55</v>
      </c>
      <c r="H226" s="10">
        <f t="shared" si="3"/>
        <v>2.4684142338077249E-2</v>
      </c>
    </row>
    <row r="227" spans="1:8">
      <c r="A227" s="2">
        <v>45421</v>
      </c>
      <c r="B227" s="4">
        <v>5310.5</v>
      </c>
      <c r="C227" s="4">
        <v>5321.9</v>
      </c>
      <c r="D227" s="4">
        <v>5071.8500000000004</v>
      </c>
      <c r="E227" s="4">
        <v>5314.3</v>
      </c>
      <c r="F227" s="4">
        <v>5132.8500000000004</v>
      </c>
      <c r="H227" s="10">
        <f t="shared" si="3"/>
        <v>-3.4143725420092919E-2</v>
      </c>
    </row>
    <row r="228" spans="1:8">
      <c r="A228" s="2">
        <v>45420</v>
      </c>
      <c r="B228" s="4">
        <v>4800.1499999999996</v>
      </c>
      <c r="C228" s="4">
        <v>5324.9</v>
      </c>
      <c r="D228" s="4">
        <v>4800.1499999999996</v>
      </c>
      <c r="E228" s="4">
        <v>5240.05</v>
      </c>
      <c r="F228" s="4">
        <v>5314.3</v>
      </c>
      <c r="H228" s="10">
        <f t="shared" si="3"/>
        <v>1.4169712121067546E-2</v>
      </c>
    </row>
    <row r="229" spans="1:8">
      <c r="A229" s="2">
        <v>45419</v>
      </c>
      <c r="B229" s="4">
        <v>5380.05</v>
      </c>
      <c r="C229" s="4">
        <v>5419.95</v>
      </c>
      <c r="D229" s="4">
        <v>5172</v>
      </c>
      <c r="E229" s="4">
        <v>5419</v>
      </c>
      <c r="F229" s="4">
        <v>5240.05</v>
      </c>
      <c r="H229" s="10">
        <f t="shared" si="3"/>
        <v>-3.3022697914744381E-2</v>
      </c>
    </row>
    <row r="230" spans="1:8">
      <c r="A230" s="2">
        <v>45418</v>
      </c>
      <c r="B230" s="4">
        <v>5466</v>
      </c>
      <c r="C230" s="4">
        <v>5499</v>
      </c>
      <c r="D230" s="4">
        <v>5352.55</v>
      </c>
      <c r="E230" s="4">
        <v>5435.2</v>
      </c>
      <c r="F230" s="4">
        <v>5419</v>
      </c>
      <c r="H230" s="10">
        <f t="shared" si="3"/>
        <v>-2.9805710921400903E-3</v>
      </c>
    </row>
    <row r="231" spans="1:8">
      <c r="A231" s="2">
        <v>45415</v>
      </c>
      <c r="B231" s="4">
        <v>5400</v>
      </c>
      <c r="C231" s="4">
        <v>5460</v>
      </c>
      <c r="D231" s="4">
        <v>5320.3</v>
      </c>
      <c r="E231" s="4">
        <v>5357.8</v>
      </c>
      <c r="F231" s="4">
        <v>5435.2</v>
      </c>
      <c r="H231" s="10">
        <f t="shared" si="3"/>
        <v>1.4446227929373929E-2</v>
      </c>
    </row>
    <row r="232" spans="1:8">
      <c r="A232" s="2">
        <v>45414</v>
      </c>
      <c r="B232" s="4">
        <v>5206</v>
      </c>
      <c r="C232" s="4">
        <v>5374.5</v>
      </c>
      <c r="D232" s="4">
        <v>5100</v>
      </c>
      <c r="E232" s="4">
        <v>5335.3</v>
      </c>
      <c r="F232" s="4">
        <v>5357.8</v>
      </c>
      <c r="H232" s="10">
        <f t="shared" si="3"/>
        <v>4.2171949093771669E-3</v>
      </c>
    </row>
    <row r="233" spans="1:8">
      <c r="A233" s="2">
        <v>45412</v>
      </c>
      <c r="B233" s="4">
        <v>5475.1</v>
      </c>
      <c r="C233" s="4">
        <v>5547.95</v>
      </c>
      <c r="D233" s="4">
        <v>5301.05</v>
      </c>
      <c r="E233" s="4">
        <v>5554.75</v>
      </c>
      <c r="F233" s="4">
        <v>5335.3</v>
      </c>
      <c r="H233" s="10">
        <f t="shared" si="3"/>
        <v>-3.9506728475628937E-2</v>
      </c>
    </row>
    <row r="234" spans="1:8">
      <c r="A234" s="2">
        <v>45411</v>
      </c>
      <c r="B234" s="4">
        <v>5444</v>
      </c>
      <c r="C234" s="4">
        <v>5589</v>
      </c>
      <c r="D234" s="4">
        <v>5430</v>
      </c>
      <c r="E234" s="4">
        <v>5425.8</v>
      </c>
      <c r="F234" s="4">
        <v>5554.75</v>
      </c>
      <c r="H234" s="10">
        <f t="shared" si="3"/>
        <v>2.376608057797925E-2</v>
      </c>
    </row>
    <row r="235" spans="1:8">
      <c r="A235" s="2">
        <v>45408</v>
      </c>
      <c r="B235" s="4">
        <v>5377</v>
      </c>
      <c r="C235" s="4">
        <v>5520</v>
      </c>
      <c r="D235" s="4">
        <v>5335.35</v>
      </c>
      <c r="E235" s="4">
        <v>5332.25</v>
      </c>
      <c r="F235" s="4">
        <v>5425.8</v>
      </c>
      <c r="H235" s="10">
        <f t="shared" si="3"/>
        <v>1.7544188663322271E-2</v>
      </c>
    </row>
    <row r="236" spans="1:8">
      <c r="A236" s="2">
        <v>45407</v>
      </c>
      <c r="B236" s="4">
        <v>5321.75</v>
      </c>
      <c r="C236" s="4">
        <v>5374</v>
      </c>
      <c r="D236" s="4">
        <v>5288.1</v>
      </c>
      <c r="E236" s="4">
        <v>5284.8</v>
      </c>
      <c r="F236" s="4">
        <v>5332.25</v>
      </c>
      <c r="H236" s="10">
        <f t="shared" si="3"/>
        <v>8.9785800787162834E-3</v>
      </c>
    </row>
    <row r="237" spans="1:8">
      <c r="A237" s="2">
        <v>45406</v>
      </c>
      <c r="B237" s="4">
        <v>5324.15</v>
      </c>
      <c r="C237" s="4">
        <v>5324.15</v>
      </c>
      <c r="D237" s="4">
        <v>5245</v>
      </c>
      <c r="E237" s="4">
        <v>5245.45</v>
      </c>
      <c r="F237" s="4">
        <v>5284.8</v>
      </c>
      <c r="H237" s="10">
        <f t="shared" si="3"/>
        <v>7.5017396028940059E-3</v>
      </c>
    </row>
    <row r="238" spans="1:8">
      <c r="A238" s="2">
        <v>45405</v>
      </c>
      <c r="B238" s="4">
        <v>5239.8999999999996</v>
      </c>
      <c r="C238" s="4">
        <v>5292</v>
      </c>
      <c r="D238" s="4">
        <v>5202.95</v>
      </c>
      <c r="E238" s="4">
        <v>5243.9</v>
      </c>
      <c r="F238" s="4">
        <v>5245.45</v>
      </c>
      <c r="H238" s="10">
        <f t="shared" si="3"/>
        <v>2.9558153282865463E-4</v>
      </c>
    </row>
    <row r="239" spans="1:8">
      <c r="A239" s="2">
        <v>45404</v>
      </c>
      <c r="B239" s="4">
        <v>5252.95</v>
      </c>
      <c r="C239" s="4">
        <v>5330</v>
      </c>
      <c r="D239" s="4">
        <v>5192.3500000000004</v>
      </c>
      <c r="E239" s="4">
        <v>5189.7</v>
      </c>
      <c r="F239" s="4">
        <v>5243.9</v>
      </c>
      <c r="H239" s="10">
        <f t="shared" si="3"/>
        <v>1.0443763608686402E-2</v>
      </c>
    </row>
    <row r="240" spans="1:8">
      <c r="A240" s="2">
        <v>45401</v>
      </c>
      <c r="B240" s="4">
        <v>5202.55</v>
      </c>
      <c r="C240" s="4">
        <v>5212.8999999999996</v>
      </c>
      <c r="D240" s="4">
        <v>5130.5</v>
      </c>
      <c r="E240" s="4">
        <v>5224.1499999999996</v>
      </c>
      <c r="F240" s="4">
        <v>5189.7</v>
      </c>
      <c r="H240" s="10">
        <f t="shared" si="3"/>
        <v>-6.5943742044159946E-3</v>
      </c>
    </row>
    <row r="241" spans="1:8">
      <c r="A241" s="2">
        <v>45400</v>
      </c>
      <c r="B241" s="4">
        <v>5285.1</v>
      </c>
      <c r="C241" s="4">
        <v>5285.1</v>
      </c>
      <c r="D241" s="4">
        <v>5186</v>
      </c>
      <c r="E241" s="4">
        <v>5285.1</v>
      </c>
      <c r="F241" s="4">
        <v>5224.1499999999996</v>
      </c>
      <c r="H241" s="10">
        <f t="shared" si="3"/>
        <v>-1.1532421335452635E-2</v>
      </c>
    </row>
    <row r="242" spans="1:8">
      <c r="A242" s="2">
        <v>45398</v>
      </c>
      <c r="B242" s="4">
        <v>5198</v>
      </c>
      <c r="C242" s="4">
        <v>5304.9</v>
      </c>
      <c r="D242" s="4">
        <v>5168.95</v>
      </c>
      <c r="E242" s="4">
        <v>5199.95</v>
      </c>
      <c r="F242" s="4">
        <v>5285.1</v>
      </c>
      <c r="H242" s="10">
        <f t="shared" si="3"/>
        <v>1.6375157453437157E-2</v>
      </c>
    </row>
    <row r="243" spans="1:8">
      <c r="A243" s="2">
        <v>45397</v>
      </c>
      <c r="B243" s="4">
        <v>5253</v>
      </c>
      <c r="C243" s="4">
        <v>5272.3</v>
      </c>
      <c r="D243" s="4">
        <v>5122.55</v>
      </c>
      <c r="E243" s="4">
        <v>5307.7</v>
      </c>
      <c r="F243" s="4">
        <v>5199.95</v>
      </c>
      <c r="H243" s="10">
        <f t="shared" si="3"/>
        <v>-2.0300695216383745E-2</v>
      </c>
    </row>
    <row r="244" spans="1:8">
      <c r="A244" s="2">
        <v>45394</v>
      </c>
      <c r="B244" s="4">
        <v>5420.8</v>
      </c>
      <c r="C244" s="4">
        <v>5440.9</v>
      </c>
      <c r="D244" s="4">
        <v>5291.05</v>
      </c>
      <c r="E244" s="4">
        <v>5398.5</v>
      </c>
      <c r="F244" s="4">
        <v>5307.7</v>
      </c>
      <c r="H244" s="10">
        <f t="shared" si="3"/>
        <v>-1.6819486894507768E-2</v>
      </c>
    </row>
    <row r="245" spans="1:8">
      <c r="A245" s="2">
        <v>45392</v>
      </c>
      <c r="B245" s="4">
        <v>5357.25</v>
      </c>
      <c r="C245" s="4">
        <v>5424</v>
      </c>
      <c r="D245" s="4">
        <v>5337.85</v>
      </c>
      <c r="E245" s="4">
        <v>5357.25</v>
      </c>
      <c r="F245" s="4">
        <v>5398.5</v>
      </c>
      <c r="H245" s="10">
        <f t="shared" si="3"/>
        <v>7.699846003079938E-3</v>
      </c>
    </row>
    <row r="246" spans="1:8">
      <c r="A246" s="2">
        <v>45391</v>
      </c>
      <c r="B246" s="4">
        <v>5399.85</v>
      </c>
      <c r="C246" s="4">
        <v>5408.4</v>
      </c>
      <c r="D246" s="4">
        <v>5281.55</v>
      </c>
      <c r="E246" s="4">
        <v>5389.4</v>
      </c>
      <c r="F246" s="4">
        <v>5357.25</v>
      </c>
      <c r="H246" s="10">
        <f t="shared" si="3"/>
        <v>-5.9654135896388535E-3</v>
      </c>
    </row>
    <row r="247" spans="1:8">
      <c r="A247" s="2">
        <v>45390</v>
      </c>
      <c r="B247" s="4">
        <v>5155</v>
      </c>
      <c r="C247" s="4">
        <v>5595.85</v>
      </c>
      <c r="D247" s="4">
        <v>5124.1499999999996</v>
      </c>
      <c r="E247" s="4">
        <v>5146.75</v>
      </c>
      <c r="F247" s="4">
        <v>5389.4</v>
      </c>
      <c r="H247" s="10">
        <f t="shared" si="3"/>
        <v>4.7146257346869315E-2</v>
      </c>
    </row>
    <row r="248" spans="1:8">
      <c r="A248" s="2">
        <v>45387</v>
      </c>
      <c r="B248" s="4">
        <v>5080.5</v>
      </c>
      <c r="C248" s="4">
        <v>5199</v>
      </c>
      <c r="D248" s="4">
        <v>5073.25</v>
      </c>
      <c r="E248" s="4">
        <v>5080.5</v>
      </c>
      <c r="F248" s="4">
        <v>5146.75</v>
      </c>
      <c r="H248" s="10">
        <f t="shared" si="3"/>
        <v>1.304005511268576E-2</v>
      </c>
    </row>
    <row r="249" spans="1:8">
      <c r="A249" s="2">
        <v>45386</v>
      </c>
      <c r="B249" s="4">
        <v>5130</v>
      </c>
      <c r="C249" s="4">
        <v>5251.4</v>
      </c>
      <c r="D249" s="4">
        <v>5039</v>
      </c>
      <c r="E249" s="4">
        <v>5090</v>
      </c>
      <c r="F249" s="4">
        <v>5080.5</v>
      </c>
      <c r="H249" s="10">
        <f t="shared" si="3"/>
        <v>-1.8664047151277013E-3</v>
      </c>
    </row>
    <row r="250" spans="1:8">
      <c r="A250" s="2">
        <v>45385</v>
      </c>
      <c r="B250" s="4">
        <v>5199.8500000000004</v>
      </c>
      <c r="C250" s="4">
        <v>5199.8500000000004</v>
      </c>
      <c r="D250" s="4">
        <v>5061</v>
      </c>
      <c r="E250" s="4">
        <v>5151.1000000000004</v>
      </c>
      <c r="F250" s="4">
        <v>5090</v>
      </c>
      <c r="H250" s="10">
        <f t="shared" si="3"/>
        <v>-1.1861544136203987E-2</v>
      </c>
    </row>
    <row r="251" spans="1:8">
      <c r="A251" s="2">
        <v>45384</v>
      </c>
      <c r="B251" s="4">
        <v>5215</v>
      </c>
      <c r="C251" s="4">
        <v>5261.9</v>
      </c>
      <c r="D251" s="4">
        <v>5096</v>
      </c>
      <c r="E251" s="4">
        <v>5200.6000000000004</v>
      </c>
      <c r="F251" s="4">
        <v>5151.1000000000004</v>
      </c>
      <c r="H251" s="10">
        <f t="shared" si="3"/>
        <v>-9.5181325231704032E-3</v>
      </c>
    </row>
    <row r="252" spans="1:8">
      <c r="A252" s="2">
        <v>45383</v>
      </c>
      <c r="B252" s="4">
        <v>5256.3</v>
      </c>
      <c r="C252" s="4">
        <v>5400</v>
      </c>
      <c r="D252" s="4">
        <v>5150</v>
      </c>
      <c r="E252" s="4">
        <v>5328.45</v>
      </c>
      <c r="F252" s="4">
        <v>5200.6000000000004</v>
      </c>
      <c r="H252" s="10">
        <f t="shared" si="3"/>
        <v>-2.3993844363745454E-2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B65D-CF28-468F-9CC6-1D1E2CA0A62D}">
  <dimension ref="A1:L252"/>
  <sheetViews>
    <sheetView workbookViewId="0">
      <selection activeCell="H1" sqref="H1"/>
    </sheetView>
  </sheetViews>
  <sheetFormatPr defaultRowHeight="14.4"/>
  <cols>
    <col min="1" max="1" width="11.6640625" customWidth="1"/>
    <col min="2" max="2" width="10.6640625" bestFit="1" customWidth="1"/>
    <col min="8" max="8" width="12" customWidth="1"/>
    <col min="11" max="11" width="18" customWidth="1"/>
    <col min="12" max="12" width="14.33203125" customWidth="1"/>
  </cols>
  <sheetData>
    <row r="1" spans="1:12">
      <c r="A1" s="5" t="s">
        <v>20</v>
      </c>
      <c r="B1" t="s">
        <v>21</v>
      </c>
    </row>
    <row r="3" spans="1:1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6</v>
      </c>
      <c r="H3" s="11" t="s">
        <v>7</v>
      </c>
    </row>
    <row r="4" spans="1:12">
      <c r="A4" s="2">
        <v>45744</v>
      </c>
      <c r="B4" s="4">
        <v>8172.45</v>
      </c>
      <c r="C4" s="4">
        <v>8250</v>
      </c>
      <c r="D4" s="4">
        <v>8024.5</v>
      </c>
      <c r="E4" s="4">
        <v>8107.6</v>
      </c>
      <c r="F4" s="4">
        <v>8109.2</v>
      </c>
      <c r="H4" s="10">
        <f>(F4-E4)/E4</f>
        <v>1.9734570033048672E-4</v>
      </c>
    </row>
    <row r="5" spans="1:12">
      <c r="A5" s="2">
        <v>45743</v>
      </c>
      <c r="B5" s="4">
        <v>7935</v>
      </c>
      <c r="C5" s="4">
        <v>8165</v>
      </c>
      <c r="D5" s="4">
        <v>7935</v>
      </c>
      <c r="E5" s="4">
        <v>8027.2</v>
      </c>
      <c r="F5" s="4">
        <v>8107.6</v>
      </c>
      <c r="H5" s="10">
        <f t="shared" ref="H5:H68" si="0">(F5-E5)/E5</f>
        <v>1.0015945784333334E-2</v>
      </c>
    </row>
    <row r="6" spans="1:12">
      <c r="A6" s="2">
        <v>45742</v>
      </c>
      <c r="B6" s="4">
        <v>7992.35</v>
      </c>
      <c r="C6" s="4">
        <v>8125.5</v>
      </c>
      <c r="D6" s="4">
        <v>7958.2</v>
      </c>
      <c r="E6" s="4">
        <v>7958.2</v>
      </c>
      <c r="F6" s="4">
        <v>8027.2</v>
      </c>
      <c r="H6" s="10">
        <f t="shared" si="0"/>
        <v>8.6703023296725388E-3</v>
      </c>
      <c r="K6" t="s">
        <v>8</v>
      </c>
      <c r="L6">
        <f>AVERAGE(H2:H252)</f>
        <v>1.811897211931338E-3</v>
      </c>
    </row>
    <row r="7" spans="1:12">
      <c r="A7" s="2">
        <v>45741</v>
      </c>
      <c r="B7" s="4">
        <v>7870</v>
      </c>
      <c r="C7" s="4">
        <v>8082.5</v>
      </c>
      <c r="D7" s="4">
        <v>7810</v>
      </c>
      <c r="E7" s="4">
        <v>7769.55</v>
      </c>
      <c r="F7" s="4">
        <v>7958.2</v>
      </c>
      <c r="H7" s="10">
        <f t="shared" si="0"/>
        <v>2.4280685496585984E-2</v>
      </c>
      <c r="K7" t="s">
        <v>9</v>
      </c>
      <c r="L7">
        <f xml:space="preserve"> _xlfn.VAR.S(H4:H252)</f>
        <v>5.1284606665990141E-4</v>
      </c>
    </row>
    <row r="8" spans="1:12">
      <c r="A8" s="2">
        <v>45740</v>
      </c>
      <c r="B8" s="4">
        <v>7785.5</v>
      </c>
      <c r="C8" s="4">
        <v>7868.8</v>
      </c>
      <c r="D8" s="4">
        <v>7625</v>
      </c>
      <c r="E8" s="4">
        <v>7746.8</v>
      </c>
      <c r="F8" s="4">
        <v>7769.55</v>
      </c>
      <c r="H8" s="10">
        <f t="shared" si="0"/>
        <v>2.9366964424020238E-3</v>
      </c>
      <c r="K8" t="s">
        <v>10</v>
      </c>
      <c r="L8">
        <f>_xlfn.STDEV.S(H4:H252)</f>
        <v>2.2646104889360145E-2</v>
      </c>
    </row>
    <row r="9" spans="1:12">
      <c r="A9" s="2">
        <v>45737</v>
      </c>
      <c r="B9" s="4">
        <v>7461.55</v>
      </c>
      <c r="C9" s="4">
        <v>7810</v>
      </c>
      <c r="D9" s="4">
        <v>7370.1</v>
      </c>
      <c r="E9" s="4">
        <v>7578.3</v>
      </c>
      <c r="F9" s="4">
        <v>7746.8</v>
      </c>
      <c r="H9" s="10">
        <f t="shared" si="0"/>
        <v>2.2234538089017326E-2</v>
      </c>
    </row>
    <row r="10" spans="1:12">
      <c r="A10" s="2">
        <v>45736</v>
      </c>
      <c r="B10" s="4">
        <v>7650</v>
      </c>
      <c r="C10" s="4">
        <v>7780</v>
      </c>
      <c r="D10" s="4">
        <v>7552</v>
      </c>
      <c r="E10" s="4">
        <v>7550.45</v>
      </c>
      <c r="F10" s="4">
        <v>7578.3</v>
      </c>
      <c r="H10" s="10">
        <f t="shared" si="0"/>
        <v>3.6885218761796138E-3</v>
      </c>
    </row>
    <row r="11" spans="1:12">
      <c r="A11" s="2">
        <v>45735</v>
      </c>
      <c r="B11" s="4">
        <v>7570</v>
      </c>
      <c r="C11" s="4">
        <v>7597.65</v>
      </c>
      <c r="D11" s="4">
        <v>7364.4</v>
      </c>
      <c r="E11" s="4">
        <v>7566</v>
      </c>
      <c r="F11" s="4">
        <v>7550.45</v>
      </c>
      <c r="H11" s="10">
        <f t="shared" si="0"/>
        <v>-2.0552471583399658E-3</v>
      </c>
    </row>
    <row r="12" spans="1:12">
      <c r="A12" s="2">
        <v>45734</v>
      </c>
      <c r="B12" s="4">
        <v>7390</v>
      </c>
      <c r="C12" s="4">
        <v>7599.15</v>
      </c>
      <c r="D12" s="4">
        <v>7340</v>
      </c>
      <c r="E12" s="4">
        <v>7365.05</v>
      </c>
      <c r="F12" s="4">
        <v>7566</v>
      </c>
      <c r="H12" s="10">
        <f t="shared" si="0"/>
        <v>2.7284268267017849E-2</v>
      </c>
    </row>
    <row r="13" spans="1:12">
      <c r="A13" s="2">
        <v>45733</v>
      </c>
      <c r="B13" s="4">
        <v>7314.1</v>
      </c>
      <c r="C13" s="4">
        <v>7398.85</v>
      </c>
      <c r="D13" s="4">
        <v>7230.95</v>
      </c>
      <c r="E13" s="4">
        <v>7292.25</v>
      </c>
      <c r="F13" s="4">
        <v>7365.05</v>
      </c>
      <c r="H13" s="10">
        <f t="shared" si="0"/>
        <v>9.983201343892514E-3</v>
      </c>
    </row>
    <row r="14" spans="1:12">
      <c r="A14" s="2">
        <v>45729</v>
      </c>
      <c r="B14" s="4">
        <v>7425</v>
      </c>
      <c r="C14" s="4">
        <v>7460</v>
      </c>
      <c r="D14" s="4">
        <v>7275</v>
      </c>
      <c r="E14" s="4">
        <v>7400.3</v>
      </c>
      <c r="F14" s="4">
        <v>7292.25</v>
      </c>
      <c r="H14" s="10">
        <f t="shared" si="0"/>
        <v>-1.4600759428671835E-2</v>
      </c>
    </row>
    <row r="15" spans="1:12">
      <c r="A15" s="2">
        <v>45728</v>
      </c>
      <c r="B15" s="4">
        <v>7690</v>
      </c>
      <c r="C15" s="4">
        <v>7740.05</v>
      </c>
      <c r="D15" s="4">
        <v>7279.05</v>
      </c>
      <c r="E15" s="4">
        <v>7632.1</v>
      </c>
      <c r="F15" s="4">
        <v>7400.3</v>
      </c>
      <c r="H15" s="10">
        <f t="shared" si="0"/>
        <v>-3.0371719448120463E-2</v>
      </c>
    </row>
    <row r="16" spans="1:12">
      <c r="A16" s="2">
        <v>45727</v>
      </c>
      <c r="B16" s="4">
        <v>7449.85</v>
      </c>
      <c r="C16" s="4">
        <v>7663.95</v>
      </c>
      <c r="D16" s="4">
        <v>7200</v>
      </c>
      <c r="E16" s="4">
        <v>7534.55</v>
      </c>
      <c r="F16" s="4">
        <v>7632.1</v>
      </c>
      <c r="H16" s="10">
        <f t="shared" si="0"/>
        <v>1.2947024042577217E-2</v>
      </c>
    </row>
    <row r="17" spans="1:8">
      <c r="A17" s="2">
        <v>45726</v>
      </c>
      <c r="B17" s="4">
        <v>7692</v>
      </c>
      <c r="C17" s="4">
        <v>7707.1</v>
      </c>
      <c r="D17" s="4">
        <v>7480.8</v>
      </c>
      <c r="E17" s="4">
        <v>7707.25</v>
      </c>
      <c r="F17" s="4">
        <v>7534.55</v>
      </c>
      <c r="H17" s="10">
        <f t="shared" si="0"/>
        <v>-2.2407473482759715E-2</v>
      </c>
    </row>
    <row r="18" spans="1:8">
      <c r="A18" s="2">
        <v>45723</v>
      </c>
      <c r="B18" s="4">
        <v>7595</v>
      </c>
      <c r="C18" s="4">
        <v>7740</v>
      </c>
      <c r="D18" s="4">
        <v>7460.35</v>
      </c>
      <c r="E18" s="4">
        <v>7625.15</v>
      </c>
      <c r="F18" s="4">
        <v>7707.25</v>
      </c>
      <c r="H18" s="10">
        <f t="shared" si="0"/>
        <v>1.0767001304892412E-2</v>
      </c>
    </row>
    <row r="19" spans="1:8">
      <c r="A19" s="2">
        <v>45722</v>
      </c>
      <c r="B19" s="4">
        <v>7853.25</v>
      </c>
      <c r="C19" s="4">
        <v>7940</v>
      </c>
      <c r="D19" s="4">
        <v>7571.8</v>
      </c>
      <c r="E19" s="4">
        <v>7814.2</v>
      </c>
      <c r="F19" s="4">
        <v>7625.15</v>
      </c>
      <c r="H19" s="10">
        <f t="shared" si="0"/>
        <v>-2.4193135573699186E-2</v>
      </c>
    </row>
    <row r="20" spans="1:8">
      <c r="A20" s="2">
        <v>45721</v>
      </c>
      <c r="B20" s="4">
        <v>7531.05</v>
      </c>
      <c r="C20" s="4">
        <v>8006</v>
      </c>
      <c r="D20" s="4">
        <v>7500</v>
      </c>
      <c r="E20" s="4">
        <v>7212.4</v>
      </c>
      <c r="F20" s="4">
        <v>7814.2</v>
      </c>
      <c r="H20" s="10">
        <f t="shared" si="0"/>
        <v>8.3439631745327522E-2</v>
      </c>
    </row>
    <row r="21" spans="1:8">
      <c r="A21" s="2">
        <v>45720</v>
      </c>
      <c r="B21" s="4">
        <v>7300</v>
      </c>
      <c r="C21" s="4">
        <v>7389.9</v>
      </c>
      <c r="D21" s="4">
        <v>7142.6</v>
      </c>
      <c r="E21" s="4">
        <v>7357.05</v>
      </c>
      <c r="F21" s="4">
        <v>7212.4</v>
      </c>
      <c r="H21" s="10">
        <f t="shared" si="0"/>
        <v>-1.9661413202302629E-2</v>
      </c>
    </row>
    <row r="22" spans="1:8">
      <c r="A22" s="2">
        <v>45719</v>
      </c>
      <c r="B22" s="4">
        <v>7363.1</v>
      </c>
      <c r="C22" s="4">
        <v>7418.45</v>
      </c>
      <c r="D22" s="4">
        <v>7238.75</v>
      </c>
      <c r="E22" s="4">
        <v>7362.15</v>
      </c>
      <c r="F22" s="4">
        <v>7357.05</v>
      </c>
      <c r="H22" s="10">
        <f t="shared" si="0"/>
        <v>-6.9273242191471979E-4</v>
      </c>
    </row>
    <row r="23" spans="1:8">
      <c r="A23" s="2">
        <v>45716</v>
      </c>
      <c r="B23" s="4">
        <v>7399.7</v>
      </c>
      <c r="C23" s="4">
        <v>7454.65</v>
      </c>
      <c r="D23" s="4">
        <v>7098.15</v>
      </c>
      <c r="E23" s="4">
        <v>7489</v>
      </c>
      <c r="F23" s="4">
        <v>7362.15</v>
      </c>
      <c r="H23" s="10">
        <f t="shared" si="0"/>
        <v>-1.6938175991454182E-2</v>
      </c>
    </row>
    <row r="24" spans="1:8">
      <c r="A24" s="2">
        <v>45715</v>
      </c>
      <c r="B24" s="4">
        <v>7719.95</v>
      </c>
      <c r="C24" s="4">
        <v>7719.95</v>
      </c>
      <c r="D24" s="4">
        <v>7410.45</v>
      </c>
      <c r="E24" s="4">
        <v>7633.75</v>
      </c>
      <c r="F24" s="4">
        <v>7489</v>
      </c>
      <c r="H24" s="10">
        <f t="shared" si="0"/>
        <v>-1.8961847060749958E-2</v>
      </c>
    </row>
    <row r="25" spans="1:8">
      <c r="A25" s="2">
        <v>45713</v>
      </c>
      <c r="B25" s="4">
        <v>7580.1</v>
      </c>
      <c r="C25" s="4">
        <v>7715.5</v>
      </c>
      <c r="D25" s="4">
        <v>7512.3</v>
      </c>
      <c r="E25" s="4">
        <v>7628.4</v>
      </c>
      <c r="F25" s="4">
        <v>7633.75</v>
      </c>
      <c r="H25" s="10">
        <f t="shared" si="0"/>
        <v>7.0132662157206807E-4</v>
      </c>
    </row>
    <row r="26" spans="1:8">
      <c r="A26" s="2">
        <v>45712</v>
      </c>
      <c r="B26" s="4">
        <v>7350</v>
      </c>
      <c r="C26" s="4">
        <v>7706.45</v>
      </c>
      <c r="D26" s="4">
        <v>7245</v>
      </c>
      <c r="E26" s="4">
        <v>7496.2</v>
      </c>
      <c r="F26" s="4">
        <v>7628.4</v>
      </c>
      <c r="H26" s="10">
        <f t="shared" si="0"/>
        <v>1.7635602038366081E-2</v>
      </c>
    </row>
    <row r="27" spans="1:8">
      <c r="A27" s="2">
        <v>45709</v>
      </c>
      <c r="B27" s="4">
        <v>7700.05</v>
      </c>
      <c r="C27" s="4">
        <v>7746.95</v>
      </c>
      <c r="D27" s="4">
        <v>7435</v>
      </c>
      <c r="E27" s="4">
        <v>7793.35</v>
      </c>
      <c r="F27" s="4">
        <v>7496.2</v>
      </c>
      <c r="H27" s="10">
        <f t="shared" si="0"/>
        <v>-3.8128660973778997E-2</v>
      </c>
    </row>
    <row r="28" spans="1:8">
      <c r="A28" s="2">
        <v>45708</v>
      </c>
      <c r="B28" s="4">
        <v>7740</v>
      </c>
      <c r="C28" s="4">
        <v>7875</v>
      </c>
      <c r="D28" s="4">
        <v>7615</v>
      </c>
      <c r="E28" s="4">
        <v>7774.65</v>
      </c>
      <c r="F28" s="4">
        <v>7793.35</v>
      </c>
      <c r="H28" s="10">
        <f t="shared" si="0"/>
        <v>2.4052529695871489E-3</v>
      </c>
    </row>
    <row r="29" spans="1:8">
      <c r="A29" s="2">
        <v>45707</v>
      </c>
      <c r="B29" s="4">
        <v>7689</v>
      </c>
      <c r="C29" s="4">
        <v>7857.75</v>
      </c>
      <c r="D29" s="4">
        <v>7561.15</v>
      </c>
      <c r="E29" s="4">
        <v>7692.25</v>
      </c>
      <c r="F29" s="4">
        <v>7774.65</v>
      </c>
      <c r="H29" s="10">
        <f t="shared" si="0"/>
        <v>1.0712080340602507E-2</v>
      </c>
    </row>
    <row r="30" spans="1:8">
      <c r="A30" s="2">
        <v>45706</v>
      </c>
      <c r="B30" s="4">
        <v>7699.95</v>
      </c>
      <c r="C30" s="4">
        <v>7793.5</v>
      </c>
      <c r="D30" s="4">
        <v>7537.2</v>
      </c>
      <c r="E30" s="4">
        <v>7683.95</v>
      </c>
      <c r="F30" s="4">
        <v>7692.25</v>
      </c>
      <c r="H30" s="10">
        <f t="shared" si="0"/>
        <v>1.0801736086257956E-3</v>
      </c>
    </row>
    <row r="31" spans="1:8">
      <c r="A31" s="2">
        <v>45705</v>
      </c>
      <c r="B31" s="4">
        <v>7733</v>
      </c>
      <c r="C31" s="4">
        <v>7749</v>
      </c>
      <c r="D31" s="4">
        <v>7494.15</v>
      </c>
      <c r="E31" s="4">
        <v>7793.35</v>
      </c>
      <c r="F31" s="4">
        <v>7683.95</v>
      </c>
      <c r="H31" s="10">
        <f t="shared" si="0"/>
        <v>-1.4037608987149369E-2</v>
      </c>
    </row>
    <row r="32" spans="1:8">
      <c r="A32" s="2">
        <v>45702</v>
      </c>
      <c r="B32" s="4">
        <v>7955</v>
      </c>
      <c r="C32" s="4">
        <v>7957.05</v>
      </c>
      <c r="D32" s="4">
        <v>7676</v>
      </c>
      <c r="E32" s="4">
        <v>7875.45</v>
      </c>
      <c r="F32" s="4">
        <v>7793.35</v>
      </c>
      <c r="H32" s="10">
        <f t="shared" si="0"/>
        <v>-1.0424801122475472E-2</v>
      </c>
    </row>
    <row r="33" spans="1:8">
      <c r="A33" s="2">
        <v>45701</v>
      </c>
      <c r="B33" s="4">
        <v>8015</v>
      </c>
      <c r="C33" s="4">
        <v>8069.95</v>
      </c>
      <c r="D33" s="4">
        <v>7830.05</v>
      </c>
      <c r="E33" s="4">
        <v>8004.4</v>
      </c>
      <c r="F33" s="4">
        <v>7875.45</v>
      </c>
      <c r="H33" s="10">
        <f t="shared" si="0"/>
        <v>-1.610988956074157E-2</v>
      </c>
    </row>
    <row r="34" spans="1:8">
      <c r="A34" s="2">
        <v>45700</v>
      </c>
      <c r="B34" s="4">
        <v>7894.4</v>
      </c>
      <c r="C34" s="4">
        <v>8132.65</v>
      </c>
      <c r="D34" s="4">
        <v>7827</v>
      </c>
      <c r="E34" s="4">
        <v>8096.75</v>
      </c>
      <c r="F34" s="4">
        <v>8004.4</v>
      </c>
      <c r="H34" s="10">
        <f t="shared" si="0"/>
        <v>-1.1405810973538811E-2</v>
      </c>
    </row>
    <row r="35" spans="1:8">
      <c r="A35" s="2">
        <v>45699</v>
      </c>
      <c r="B35" s="4">
        <v>8415</v>
      </c>
      <c r="C35" s="4">
        <v>8469.0499999999993</v>
      </c>
      <c r="D35" s="4">
        <v>8071</v>
      </c>
      <c r="E35" s="4">
        <v>8414.4500000000007</v>
      </c>
      <c r="F35" s="4">
        <v>8096.75</v>
      </c>
      <c r="H35" s="10">
        <f t="shared" si="0"/>
        <v>-3.7756478438876064E-2</v>
      </c>
    </row>
    <row r="36" spans="1:8">
      <c r="A36" s="2">
        <v>45698</v>
      </c>
      <c r="B36" s="4">
        <v>8550</v>
      </c>
      <c r="C36" s="4">
        <v>8550</v>
      </c>
      <c r="D36" s="4">
        <v>8379.7999999999993</v>
      </c>
      <c r="E36" s="4">
        <v>8535.85</v>
      </c>
      <c r="F36" s="4">
        <v>8414.4500000000007</v>
      </c>
      <c r="H36" s="10">
        <f t="shared" si="0"/>
        <v>-1.4222368012558754E-2</v>
      </c>
    </row>
    <row r="37" spans="1:8">
      <c r="A37" s="2">
        <v>45695</v>
      </c>
      <c r="B37" s="4">
        <v>8531.2000000000007</v>
      </c>
      <c r="C37" s="4">
        <v>8615</v>
      </c>
      <c r="D37" s="4">
        <v>8449.75</v>
      </c>
      <c r="E37" s="4">
        <v>8521.35</v>
      </c>
      <c r="F37" s="4">
        <v>8535.85</v>
      </c>
      <c r="H37" s="10">
        <f t="shared" si="0"/>
        <v>1.7016083132367524E-3</v>
      </c>
    </row>
    <row r="38" spans="1:8">
      <c r="A38" s="2">
        <v>45694</v>
      </c>
      <c r="B38" s="4">
        <v>8588.4500000000007</v>
      </c>
      <c r="C38" s="4">
        <v>8619.9</v>
      </c>
      <c r="D38" s="4">
        <v>8490</v>
      </c>
      <c r="E38" s="4">
        <v>8502.15</v>
      </c>
      <c r="F38" s="4">
        <v>8521.35</v>
      </c>
      <c r="H38" s="10">
        <f t="shared" si="0"/>
        <v>2.2582523244121461E-3</v>
      </c>
    </row>
    <row r="39" spans="1:8">
      <c r="A39" s="2">
        <v>45693</v>
      </c>
      <c r="B39" s="4">
        <v>8460.5499999999993</v>
      </c>
      <c r="C39" s="4">
        <v>8624</v>
      </c>
      <c r="D39" s="4">
        <v>8450.1</v>
      </c>
      <c r="E39" s="4">
        <v>8459.0499999999993</v>
      </c>
      <c r="F39" s="4">
        <v>8502.15</v>
      </c>
      <c r="H39" s="10">
        <f t="shared" si="0"/>
        <v>5.0951347964606391E-3</v>
      </c>
    </row>
    <row r="40" spans="1:8">
      <c r="A40" s="2">
        <v>45692</v>
      </c>
      <c r="B40" s="4">
        <v>8348</v>
      </c>
      <c r="C40" s="4">
        <v>8488</v>
      </c>
      <c r="D40" s="4">
        <v>8311.85</v>
      </c>
      <c r="E40" s="4">
        <v>8344.1</v>
      </c>
      <c r="F40" s="4">
        <v>8459.0499999999993</v>
      </c>
      <c r="H40" s="10">
        <f t="shared" si="0"/>
        <v>1.3776201148116502E-2</v>
      </c>
    </row>
    <row r="41" spans="1:8">
      <c r="A41" s="2">
        <v>45691</v>
      </c>
      <c r="B41" s="4">
        <v>7975</v>
      </c>
      <c r="C41" s="4">
        <v>8359.9</v>
      </c>
      <c r="D41" s="4">
        <v>7820.15</v>
      </c>
      <c r="E41" s="4">
        <v>8076.35</v>
      </c>
      <c r="F41" s="4">
        <v>8344.1</v>
      </c>
      <c r="H41" s="10">
        <f t="shared" si="0"/>
        <v>3.315235223832548E-2</v>
      </c>
    </row>
    <row r="42" spans="1:8">
      <c r="A42" s="2">
        <v>45689</v>
      </c>
      <c r="B42" s="4">
        <v>8300</v>
      </c>
      <c r="C42" s="4">
        <v>8405.5</v>
      </c>
      <c r="D42" s="4">
        <v>8011</v>
      </c>
      <c r="E42" s="4">
        <v>8263.85</v>
      </c>
      <c r="F42" s="4">
        <v>8076.35</v>
      </c>
      <c r="H42" s="10">
        <f t="shared" si="0"/>
        <v>-2.2689182402875173E-2</v>
      </c>
    </row>
    <row r="43" spans="1:8">
      <c r="A43" s="2">
        <v>45688</v>
      </c>
      <c r="B43" s="4">
        <v>8324.0499999999993</v>
      </c>
      <c r="C43" s="4">
        <v>8395</v>
      </c>
      <c r="D43" s="4">
        <v>8205.1</v>
      </c>
      <c r="E43" s="4">
        <v>8327.35</v>
      </c>
      <c r="F43" s="4">
        <v>8263.85</v>
      </c>
      <c r="H43" s="10">
        <f t="shared" si="0"/>
        <v>-7.6254750911154204E-3</v>
      </c>
    </row>
    <row r="44" spans="1:8">
      <c r="A44" s="2">
        <v>45687</v>
      </c>
      <c r="B44" s="4">
        <v>8780</v>
      </c>
      <c r="C44" s="4">
        <v>8784.5499999999993</v>
      </c>
      <c r="D44" s="4">
        <v>8300.25</v>
      </c>
      <c r="E44" s="4">
        <v>8746.5499999999993</v>
      </c>
      <c r="F44" s="4">
        <v>8327.35</v>
      </c>
      <c r="H44" s="10">
        <f t="shared" si="0"/>
        <v>-4.7927468544740379E-2</v>
      </c>
    </row>
    <row r="45" spans="1:8">
      <c r="A45" s="2">
        <v>45686</v>
      </c>
      <c r="B45" s="4">
        <v>8500</v>
      </c>
      <c r="C45" s="4">
        <v>8784</v>
      </c>
      <c r="D45" s="4">
        <v>8455.2000000000007</v>
      </c>
      <c r="E45" s="4">
        <v>8498.7999999999993</v>
      </c>
      <c r="F45" s="4">
        <v>8746.5499999999993</v>
      </c>
      <c r="H45" s="10">
        <f t="shared" si="0"/>
        <v>2.9151174283428252E-2</v>
      </c>
    </row>
    <row r="46" spans="1:8">
      <c r="A46" s="2">
        <v>45685</v>
      </c>
      <c r="B46" s="4">
        <v>8764.25</v>
      </c>
      <c r="C46" s="4">
        <v>8816.6</v>
      </c>
      <c r="D46" s="4">
        <v>8438.35</v>
      </c>
      <c r="E46" s="4">
        <v>8801.7000000000007</v>
      </c>
      <c r="F46" s="4">
        <v>8498.7999999999993</v>
      </c>
      <c r="H46" s="10">
        <f t="shared" si="0"/>
        <v>-3.4413806423759206E-2</v>
      </c>
    </row>
    <row r="47" spans="1:8">
      <c r="A47" s="2">
        <v>45684</v>
      </c>
      <c r="B47" s="4">
        <v>9095.5</v>
      </c>
      <c r="C47" s="4">
        <v>9130.7999999999993</v>
      </c>
      <c r="D47" s="4">
        <v>8750</v>
      </c>
      <c r="E47" s="4">
        <v>9234.6</v>
      </c>
      <c r="F47" s="4">
        <v>8801.7000000000007</v>
      </c>
      <c r="H47" s="10">
        <f t="shared" si="0"/>
        <v>-4.6878045611071367E-2</v>
      </c>
    </row>
    <row r="48" spans="1:8">
      <c r="A48" s="2">
        <v>45681</v>
      </c>
      <c r="B48" s="4">
        <v>9100</v>
      </c>
      <c r="C48" s="4">
        <v>9430</v>
      </c>
      <c r="D48" s="4">
        <v>9072.5</v>
      </c>
      <c r="E48" s="4">
        <v>9196.4500000000007</v>
      </c>
      <c r="F48" s="4">
        <v>9234.6</v>
      </c>
      <c r="H48" s="10">
        <f t="shared" si="0"/>
        <v>4.148339848528468E-3</v>
      </c>
    </row>
    <row r="49" spans="1:8">
      <c r="A49" s="2">
        <v>45680</v>
      </c>
      <c r="B49" s="4">
        <v>8710</v>
      </c>
      <c r="C49" s="4">
        <v>9320</v>
      </c>
      <c r="D49" s="4">
        <v>8652.1</v>
      </c>
      <c r="E49" s="4">
        <v>8228.2000000000007</v>
      </c>
      <c r="F49" s="4">
        <v>9196.4500000000007</v>
      </c>
      <c r="H49" s="10">
        <f t="shared" si="0"/>
        <v>0.11767458253323934</v>
      </c>
    </row>
    <row r="50" spans="1:8">
      <c r="A50" s="2">
        <v>45679</v>
      </c>
      <c r="B50" s="4">
        <v>8315.7999999999993</v>
      </c>
      <c r="C50" s="4">
        <v>8364.9500000000007</v>
      </c>
      <c r="D50" s="4">
        <v>8142.6</v>
      </c>
      <c r="E50" s="4">
        <v>8261.1</v>
      </c>
      <c r="F50" s="4">
        <v>8228.2000000000007</v>
      </c>
      <c r="H50" s="10">
        <f t="shared" si="0"/>
        <v>-3.9825204875863548E-3</v>
      </c>
    </row>
    <row r="51" spans="1:8">
      <c r="A51" s="2">
        <v>45678</v>
      </c>
      <c r="B51" s="4">
        <v>8679</v>
      </c>
      <c r="C51" s="4">
        <v>8732.7000000000007</v>
      </c>
      <c r="D51" s="4">
        <v>8242.15</v>
      </c>
      <c r="E51" s="4">
        <v>8662.1</v>
      </c>
      <c r="F51" s="4">
        <v>8261.1</v>
      </c>
      <c r="H51" s="10">
        <f t="shared" si="0"/>
        <v>-4.6293623948003369E-2</v>
      </c>
    </row>
    <row r="52" spans="1:8">
      <c r="A52" s="2">
        <v>45677</v>
      </c>
      <c r="B52" s="4">
        <v>8641.5499999999993</v>
      </c>
      <c r="C52" s="4">
        <v>8731.9500000000007</v>
      </c>
      <c r="D52" s="4">
        <v>8450.2000000000007</v>
      </c>
      <c r="E52" s="4">
        <v>8641.5499999999993</v>
      </c>
      <c r="F52" s="4">
        <v>8662.1</v>
      </c>
      <c r="H52" s="10">
        <f t="shared" si="0"/>
        <v>2.3780456052445559E-3</v>
      </c>
    </row>
    <row r="53" spans="1:8">
      <c r="A53" s="2">
        <v>45674</v>
      </c>
      <c r="B53" s="4">
        <v>8690</v>
      </c>
      <c r="C53" s="4">
        <v>8775</v>
      </c>
      <c r="D53" s="4">
        <v>8601.75</v>
      </c>
      <c r="E53" s="4">
        <v>8731.35</v>
      </c>
      <c r="F53" s="4">
        <v>8641.5499999999993</v>
      </c>
      <c r="H53" s="10">
        <f t="shared" si="0"/>
        <v>-1.028477841341844E-2</v>
      </c>
    </row>
    <row r="54" spans="1:8">
      <c r="A54" s="2">
        <v>45673</v>
      </c>
      <c r="B54" s="4">
        <v>8601.85</v>
      </c>
      <c r="C54" s="4">
        <v>8963.5</v>
      </c>
      <c r="D54" s="4">
        <v>8601.85</v>
      </c>
      <c r="E54" s="4">
        <v>8583.35</v>
      </c>
      <c r="F54" s="4">
        <v>8731.35</v>
      </c>
      <c r="H54" s="10">
        <f t="shared" si="0"/>
        <v>1.7242684965660261E-2</v>
      </c>
    </row>
    <row r="55" spans="1:8">
      <c r="A55" s="2">
        <v>45672</v>
      </c>
      <c r="B55" s="4">
        <v>8587</v>
      </c>
      <c r="C55" s="4">
        <v>8717.35</v>
      </c>
      <c r="D55" s="4">
        <v>8481.35</v>
      </c>
      <c r="E55" s="4">
        <v>8592.4</v>
      </c>
      <c r="F55" s="4">
        <v>8583.35</v>
      </c>
      <c r="H55" s="10">
        <f t="shared" si="0"/>
        <v>-1.0532563660908794E-3</v>
      </c>
    </row>
    <row r="56" spans="1:8">
      <c r="A56" s="2">
        <v>45671</v>
      </c>
      <c r="B56" s="4">
        <v>8754</v>
      </c>
      <c r="C56" s="4">
        <v>8809.9500000000007</v>
      </c>
      <c r="D56" s="4">
        <v>8539.6</v>
      </c>
      <c r="E56" s="4">
        <v>8705.5499999999993</v>
      </c>
      <c r="F56" s="4">
        <v>8592.4</v>
      </c>
      <c r="H56" s="10">
        <f t="shared" si="0"/>
        <v>-1.2997455646110774E-2</v>
      </c>
    </row>
    <row r="57" spans="1:8">
      <c r="A57" s="2">
        <v>45670</v>
      </c>
      <c r="B57" s="4">
        <v>9323.5</v>
      </c>
      <c r="C57" s="4">
        <v>9323.5</v>
      </c>
      <c r="D57" s="4">
        <v>8667.9500000000007</v>
      </c>
      <c r="E57" s="4">
        <v>9404.15</v>
      </c>
      <c r="F57" s="4">
        <v>8705.5499999999993</v>
      </c>
      <c r="H57" s="10">
        <f t="shared" si="0"/>
        <v>-7.4286352301909303E-2</v>
      </c>
    </row>
    <row r="58" spans="1:8">
      <c r="A58" s="2">
        <v>45667</v>
      </c>
      <c r="B58" s="4">
        <v>9375</v>
      </c>
      <c r="C58" s="4">
        <v>9549.25</v>
      </c>
      <c r="D58" s="4">
        <v>9269.9500000000007</v>
      </c>
      <c r="E58" s="4">
        <v>9283</v>
      </c>
      <c r="F58" s="4">
        <v>9404.15</v>
      </c>
      <c r="H58" s="10">
        <f t="shared" si="0"/>
        <v>1.3050737908003839E-2</v>
      </c>
    </row>
    <row r="59" spans="1:8">
      <c r="A59" s="2">
        <v>45666</v>
      </c>
      <c r="B59" s="4">
        <v>9565.2999999999993</v>
      </c>
      <c r="C59" s="4">
        <v>9609.85</v>
      </c>
      <c r="D59" s="4">
        <v>9252.5499999999993</v>
      </c>
      <c r="E59" s="4">
        <v>9558</v>
      </c>
      <c r="F59" s="4">
        <v>9283</v>
      </c>
      <c r="H59" s="10">
        <f t="shared" si="0"/>
        <v>-2.8771709562670014E-2</v>
      </c>
    </row>
    <row r="60" spans="1:8">
      <c r="A60" s="2">
        <v>45665</v>
      </c>
      <c r="B60" s="4">
        <v>9617.0499999999993</v>
      </c>
      <c r="C60" s="4">
        <v>9617.0499999999993</v>
      </c>
      <c r="D60" s="4">
        <v>9373</v>
      </c>
      <c r="E60" s="4">
        <v>9620.2000000000007</v>
      </c>
      <c r="F60" s="4">
        <v>9558</v>
      </c>
      <c r="H60" s="10">
        <f t="shared" si="0"/>
        <v>-6.4655620465271747E-3</v>
      </c>
    </row>
    <row r="61" spans="1:8">
      <c r="A61" s="2">
        <v>45664</v>
      </c>
      <c r="B61" s="4">
        <v>9640</v>
      </c>
      <c r="C61" s="4">
        <v>9778</v>
      </c>
      <c r="D61" s="4">
        <v>9565.25</v>
      </c>
      <c r="E61" s="4">
        <v>9631.75</v>
      </c>
      <c r="F61" s="4">
        <v>9620.2000000000007</v>
      </c>
      <c r="H61" s="10">
        <f t="shared" si="0"/>
        <v>-1.1991590313286031E-3</v>
      </c>
    </row>
    <row r="62" spans="1:8">
      <c r="A62" s="2">
        <v>45663</v>
      </c>
      <c r="B62" s="4">
        <v>9669.65</v>
      </c>
      <c r="C62" s="4">
        <v>9752</v>
      </c>
      <c r="D62" s="4">
        <v>9600</v>
      </c>
      <c r="E62" s="4">
        <v>9669.65</v>
      </c>
      <c r="F62" s="4">
        <v>9631.75</v>
      </c>
      <c r="H62" s="10">
        <f t="shared" si="0"/>
        <v>-3.9194800225447286E-3</v>
      </c>
    </row>
    <row r="63" spans="1:8">
      <c r="A63" s="2">
        <v>45660</v>
      </c>
      <c r="B63" s="4">
        <v>9730</v>
      </c>
      <c r="C63" s="4">
        <v>9745</v>
      </c>
      <c r="D63" s="4">
        <v>9531.0499999999993</v>
      </c>
      <c r="E63" s="4">
        <v>9696.65</v>
      </c>
      <c r="F63" s="4">
        <v>9669.65</v>
      </c>
      <c r="H63" s="10">
        <f t="shared" si="0"/>
        <v>-2.7844668003898254E-3</v>
      </c>
    </row>
    <row r="64" spans="1:8">
      <c r="A64" s="2">
        <v>45659</v>
      </c>
      <c r="B64" s="4">
        <v>9619</v>
      </c>
      <c r="C64" s="4">
        <v>9757.4500000000007</v>
      </c>
      <c r="D64" s="4">
        <v>9600</v>
      </c>
      <c r="E64" s="4">
        <v>9628.5499999999993</v>
      </c>
      <c r="F64" s="4">
        <v>9696.65</v>
      </c>
      <c r="H64" s="10">
        <f t="shared" si="0"/>
        <v>7.0727160372019019E-3</v>
      </c>
    </row>
    <row r="65" spans="1:8">
      <c r="A65" s="2">
        <v>45658</v>
      </c>
      <c r="B65" s="4">
        <v>9690</v>
      </c>
      <c r="C65" s="4">
        <v>9744.9500000000007</v>
      </c>
      <c r="D65" s="4">
        <v>9542.7000000000007</v>
      </c>
      <c r="E65" s="4">
        <v>9662.9500000000007</v>
      </c>
      <c r="F65" s="4">
        <v>9628.5499999999993</v>
      </c>
      <c r="H65" s="10">
        <f t="shared" si="0"/>
        <v>-3.5599894442174961E-3</v>
      </c>
    </row>
    <row r="66" spans="1:8">
      <c r="A66" s="2">
        <v>45657</v>
      </c>
      <c r="B66" s="4">
        <v>9700.0499999999993</v>
      </c>
      <c r="C66" s="4">
        <v>9707</v>
      </c>
      <c r="D66" s="4">
        <v>9480</v>
      </c>
      <c r="E66" s="4">
        <v>9817.9500000000007</v>
      </c>
      <c r="F66" s="4">
        <v>9662.9500000000007</v>
      </c>
      <c r="H66" s="10">
        <f t="shared" si="0"/>
        <v>-1.5787409795323872E-2</v>
      </c>
    </row>
    <row r="67" spans="1:8">
      <c r="A67" s="2">
        <v>45656</v>
      </c>
      <c r="B67" s="4">
        <v>9390.1</v>
      </c>
      <c r="C67" s="4">
        <v>10026.799999999999</v>
      </c>
      <c r="D67" s="4">
        <v>9387.5</v>
      </c>
      <c r="E67" s="4">
        <v>9451.1</v>
      </c>
      <c r="F67" s="4">
        <v>9817.9500000000007</v>
      </c>
      <c r="H67" s="10">
        <f t="shared" si="0"/>
        <v>3.8815587603559409E-2</v>
      </c>
    </row>
    <row r="68" spans="1:8">
      <c r="A68" s="2">
        <v>45653</v>
      </c>
      <c r="B68" s="4">
        <v>9528.0499999999993</v>
      </c>
      <c r="C68" s="4">
        <v>9550</v>
      </c>
      <c r="D68" s="4">
        <v>9360.0499999999993</v>
      </c>
      <c r="E68" s="4">
        <v>9493.25</v>
      </c>
      <c r="F68" s="4">
        <v>9451.1</v>
      </c>
      <c r="H68" s="10">
        <f t="shared" si="0"/>
        <v>-4.4399968398598621E-3</v>
      </c>
    </row>
    <row r="69" spans="1:8">
      <c r="A69" s="2">
        <v>45652</v>
      </c>
      <c r="B69" s="4">
        <v>9405</v>
      </c>
      <c r="C69" s="4">
        <v>9574</v>
      </c>
      <c r="D69" s="4">
        <v>9321.6</v>
      </c>
      <c r="E69" s="4">
        <v>9393.7000000000007</v>
      </c>
      <c r="F69" s="4">
        <v>9493.25</v>
      </c>
      <c r="H69" s="10">
        <f t="shared" ref="H69:H132" si="1">(F69-E69)/E69</f>
        <v>1.0597528130555508E-2</v>
      </c>
    </row>
    <row r="70" spans="1:8">
      <c r="A70" s="2">
        <v>45650</v>
      </c>
      <c r="B70" s="4">
        <v>9406.35</v>
      </c>
      <c r="C70" s="4">
        <v>9470</v>
      </c>
      <c r="D70" s="4">
        <v>9315.25</v>
      </c>
      <c r="E70" s="4">
        <v>9406.35</v>
      </c>
      <c r="F70" s="4">
        <v>9393.7000000000007</v>
      </c>
      <c r="H70" s="10">
        <f t="shared" si="1"/>
        <v>-1.3448362010768933E-3</v>
      </c>
    </row>
    <row r="71" spans="1:8">
      <c r="A71" s="2">
        <v>45649</v>
      </c>
      <c r="B71" s="4">
        <v>9449.6</v>
      </c>
      <c r="C71" s="4">
        <v>9525</v>
      </c>
      <c r="D71" s="4">
        <v>9381.25</v>
      </c>
      <c r="E71" s="4">
        <v>9370.4500000000007</v>
      </c>
      <c r="F71" s="4">
        <v>9406.35</v>
      </c>
      <c r="H71" s="10">
        <f t="shared" si="1"/>
        <v>3.8311927388758951E-3</v>
      </c>
    </row>
    <row r="72" spans="1:8">
      <c r="A72" s="2">
        <v>45646</v>
      </c>
      <c r="B72" s="4">
        <v>9740</v>
      </c>
      <c r="C72" s="4">
        <v>9797.1</v>
      </c>
      <c r="D72" s="4">
        <v>9346.1</v>
      </c>
      <c r="E72" s="4">
        <v>9657.1</v>
      </c>
      <c r="F72" s="4">
        <v>9370.4500000000007</v>
      </c>
      <c r="H72" s="10">
        <f t="shared" si="1"/>
        <v>-2.9682824036201306E-2</v>
      </c>
    </row>
    <row r="73" spans="1:8">
      <c r="A73" s="2">
        <v>45645</v>
      </c>
      <c r="B73" s="4">
        <v>9188.2000000000007</v>
      </c>
      <c r="C73" s="4">
        <v>9672.35</v>
      </c>
      <c r="D73" s="4">
        <v>9188.2000000000007</v>
      </c>
      <c r="E73" s="4">
        <v>9471.35</v>
      </c>
      <c r="F73" s="4">
        <v>9657.1</v>
      </c>
      <c r="H73" s="10">
        <f t="shared" si="1"/>
        <v>1.9611776568282242E-2</v>
      </c>
    </row>
    <row r="74" spans="1:8">
      <c r="A74" s="2">
        <v>45644</v>
      </c>
      <c r="B74" s="4">
        <v>9408</v>
      </c>
      <c r="C74" s="4">
        <v>9508</v>
      </c>
      <c r="D74" s="4">
        <v>9370</v>
      </c>
      <c r="E74" s="4">
        <v>9402.9500000000007</v>
      </c>
      <c r="F74" s="4">
        <v>9471.35</v>
      </c>
      <c r="H74" s="10">
        <f t="shared" si="1"/>
        <v>7.2743128486272533E-3</v>
      </c>
    </row>
    <row r="75" spans="1:8">
      <c r="A75" s="2">
        <v>45643</v>
      </c>
      <c r="B75" s="4">
        <v>9290</v>
      </c>
      <c r="C75" s="4">
        <v>9420</v>
      </c>
      <c r="D75" s="4">
        <v>9280</v>
      </c>
      <c r="E75" s="4">
        <v>9284.7000000000007</v>
      </c>
      <c r="F75" s="4">
        <v>9402.9500000000007</v>
      </c>
      <c r="H75" s="10">
        <f t="shared" si="1"/>
        <v>1.2736006548407595E-2</v>
      </c>
    </row>
    <row r="76" spans="1:8">
      <c r="A76" s="2">
        <v>45642</v>
      </c>
      <c r="B76" s="4">
        <v>9289</v>
      </c>
      <c r="C76" s="4">
        <v>9354.9500000000007</v>
      </c>
      <c r="D76" s="4">
        <v>9240</v>
      </c>
      <c r="E76" s="4">
        <v>9300.75</v>
      </c>
      <c r="F76" s="4">
        <v>9284.7000000000007</v>
      </c>
      <c r="H76" s="10">
        <f t="shared" si="1"/>
        <v>-1.7256672848963012E-3</v>
      </c>
    </row>
    <row r="77" spans="1:8">
      <c r="A77" s="2">
        <v>45639</v>
      </c>
      <c r="B77" s="4">
        <v>9169.9500000000007</v>
      </c>
      <c r="C77" s="4">
        <v>9326.9500000000007</v>
      </c>
      <c r="D77" s="4">
        <v>9092.2000000000007</v>
      </c>
      <c r="E77" s="4">
        <v>9195.9500000000007</v>
      </c>
      <c r="F77" s="4">
        <v>9300.75</v>
      </c>
      <c r="H77" s="10">
        <f t="shared" si="1"/>
        <v>1.139632120661805E-2</v>
      </c>
    </row>
    <row r="78" spans="1:8">
      <c r="A78" s="2">
        <v>45638</v>
      </c>
      <c r="B78" s="4">
        <v>9058</v>
      </c>
      <c r="C78" s="4">
        <v>9351</v>
      </c>
      <c r="D78" s="4">
        <v>9030.4500000000007</v>
      </c>
      <c r="E78" s="4">
        <v>8996.2000000000007</v>
      </c>
      <c r="F78" s="4">
        <v>9195.9500000000007</v>
      </c>
      <c r="H78" s="10">
        <f t="shared" si="1"/>
        <v>2.2203819390409281E-2</v>
      </c>
    </row>
    <row r="79" spans="1:8">
      <c r="A79" s="2">
        <v>45637</v>
      </c>
      <c r="B79" s="4">
        <v>9000</v>
      </c>
      <c r="C79" s="4">
        <v>9037.9500000000007</v>
      </c>
      <c r="D79" s="4">
        <v>8956.2000000000007</v>
      </c>
      <c r="E79" s="4">
        <v>9008.5499999999993</v>
      </c>
      <c r="F79" s="4">
        <v>8996.2000000000007</v>
      </c>
      <c r="H79" s="10">
        <f t="shared" si="1"/>
        <v>-1.3709198483661128E-3</v>
      </c>
    </row>
    <row r="80" spans="1:8">
      <c r="A80" s="2">
        <v>45636</v>
      </c>
      <c r="B80" s="4">
        <v>8870.0499999999993</v>
      </c>
      <c r="C80" s="4">
        <v>9047.9500000000007</v>
      </c>
      <c r="D80" s="4">
        <v>8860</v>
      </c>
      <c r="E80" s="4">
        <v>8918.6</v>
      </c>
      <c r="F80" s="4">
        <v>9008.5499999999993</v>
      </c>
      <c r="H80" s="10">
        <f t="shared" si="1"/>
        <v>1.0085663669185624E-2</v>
      </c>
    </row>
    <row r="81" spans="1:8">
      <c r="A81" s="2">
        <v>45635</v>
      </c>
      <c r="B81" s="4">
        <v>8941.5</v>
      </c>
      <c r="C81" s="4">
        <v>8985</v>
      </c>
      <c r="D81" s="4">
        <v>8896.1</v>
      </c>
      <c r="E81" s="4">
        <v>8901.4500000000007</v>
      </c>
      <c r="F81" s="4">
        <v>8918.6</v>
      </c>
      <c r="H81" s="10">
        <f t="shared" si="1"/>
        <v>1.9266523993281583E-3</v>
      </c>
    </row>
    <row r="82" spans="1:8">
      <c r="A82" s="2">
        <v>45632</v>
      </c>
      <c r="B82" s="4">
        <v>8770</v>
      </c>
      <c r="C82" s="4">
        <v>8920</v>
      </c>
      <c r="D82" s="4">
        <v>8755.5499999999993</v>
      </c>
      <c r="E82" s="4">
        <v>8817.7999999999993</v>
      </c>
      <c r="F82" s="4">
        <v>8901.4500000000007</v>
      </c>
      <c r="H82" s="10">
        <f t="shared" si="1"/>
        <v>9.4864932296039213E-3</v>
      </c>
    </row>
    <row r="83" spans="1:8">
      <c r="A83" s="2">
        <v>45631</v>
      </c>
      <c r="B83" s="4">
        <v>8766.0499999999993</v>
      </c>
      <c r="C83" s="4">
        <v>8897</v>
      </c>
      <c r="D83" s="4">
        <v>8743</v>
      </c>
      <c r="E83" s="4">
        <v>8765.9</v>
      </c>
      <c r="F83" s="4">
        <v>8817.7999999999993</v>
      </c>
      <c r="H83" s="10">
        <f t="shared" si="1"/>
        <v>5.9206698684675435E-3</v>
      </c>
    </row>
    <row r="84" spans="1:8">
      <c r="A84" s="2">
        <v>45630</v>
      </c>
      <c r="B84" s="4">
        <v>8718.25</v>
      </c>
      <c r="C84" s="4">
        <v>8775</v>
      </c>
      <c r="D84" s="4">
        <v>8678.2000000000007</v>
      </c>
      <c r="E84" s="4">
        <v>8718.25</v>
      </c>
      <c r="F84" s="4">
        <v>8765.9</v>
      </c>
      <c r="H84" s="10">
        <f t="shared" si="1"/>
        <v>5.4655464112636862E-3</v>
      </c>
    </row>
    <row r="85" spans="1:8">
      <c r="A85" s="2">
        <v>45629</v>
      </c>
      <c r="B85" s="4">
        <v>8690</v>
      </c>
      <c r="C85" s="4">
        <v>8748.9500000000007</v>
      </c>
      <c r="D85" s="4">
        <v>8595</v>
      </c>
      <c r="E85" s="4">
        <v>8710.7000000000007</v>
      </c>
      <c r="F85" s="4">
        <v>8718.25</v>
      </c>
      <c r="H85" s="10">
        <f t="shared" si="1"/>
        <v>8.6675008897095203E-4</v>
      </c>
    </row>
    <row r="86" spans="1:8">
      <c r="A86" s="2">
        <v>45628</v>
      </c>
      <c r="B86" s="4">
        <v>8686.0499999999993</v>
      </c>
      <c r="C86" s="4">
        <v>8773.0499999999993</v>
      </c>
      <c r="D86" s="4">
        <v>8643.5</v>
      </c>
      <c r="E86" s="4">
        <v>8685.85</v>
      </c>
      <c r="F86" s="4">
        <v>8710.7000000000007</v>
      </c>
      <c r="H86" s="10">
        <f t="shared" si="1"/>
        <v>2.8609750341072391E-3</v>
      </c>
    </row>
    <row r="87" spans="1:8">
      <c r="A87" s="2">
        <v>45625</v>
      </c>
      <c r="B87" s="4">
        <v>8625</v>
      </c>
      <c r="C87" s="4">
        <v>8707.9</v>
      </c>
      <c r="D87" s="4">
        <v>8541</v>
      </c>
      <c r="E87" s="4">
        <v>8661.0499999999993</v>
      </c>
      <c r="F87" s="4">
        <v>8685.85</v>
      </c>
      <c r="H87" s="10">
        <f t="shared" si="1"/>
        <v>2.863394161216145E-3</v>
      </c>
    </row>
    <row r="88" spans="1:8">
      <c r="A88" s="2">
        <v>45624</v>
      </c>
      <c r="B88" s="4">
        <v>8678</v>
      </c>
      <c r="C88" s="4">
        <v>8689.9500000000007</v>
      </c>
      <c r="D88" s="4">
        <v>8604.15</v>
      </c>
      <c r="E88" s="4">
        <v>8672.9</v>
      </c>
      <c r="F88" s="4">
        <v>8661.0499999999993</v>
      </c>
      <c r="H88" s="10">
        <f t="shared" si="1"/>
        <v>-1.3663249893346361E-3</v>
      </c>
    </row>
    <row r="89" spans="1:8">
      <c r="A89" s="2">
        <v>45623</v>
      </c>
      <c r="B89" s="4">
        <v>8625</v>
      </c>
      <c r="C89" s="4">
        <v>8744.5</v>
      </c>
      <c r="D89" s="4">
        <v>8542.2000000000007</v>
      </c>
      <c r="E89" s="4">
        <v>8616.5499999999993</v>
      </c>
      <c r="F89" s="4">
        <v>8672.9</v>
      </c>
      <c r="H89" s="10">
        <f t="shared" si="1"/>
        <v>6.5397403833321191E-3</v>
      </c>
    </row>
    <row r="90" spans="1:8">
      <c r="A90" s="2">
        <v>45622</v>
      </c>
      <c r="B90" s="4">
        <v>8610</v>
      </c>
      <c r="C90" s="4">
        <v>8680</v>
      </c>
      <c r="D90" s="4">
        <v>8588.5499999999993</v>
      </c>
      <c r="E90" s="4">
        <v>8611.6</v>
      </c>
      <c r="F90" s="4">
        <v>8616.5499999999993</v>
      </c>
      <c r="H90" s="10">
        <f t="shared" si="1"/>
        <v>5.7480607552590787E-4</v>
      </c>
    </row>
    <row r="91" spans="1:8">
      <c r="A91" s="2">
        <v>45621</v>
      </c>
      <c r="B91" s="4">
        <v>8366.0499999999993</v>
      </c>
      <c r="C91" s="4">
        <v>8640</v>
      </c>
      <c r="D91" s="4">
        <v>8359.25</v>
      </c>
      <c r="E91" s="4">
        <v>8327.5</v>
      </c>
      <c r="F91" s="4">
        <v>8611.6</v>
      </c>
      <c r="H91" s="10">
        <f t="shared" si="1"/>
        <v>3.4115881116781793E-2</v>
      </c>
    </row>
    <row r="92" spans="1:8">
      <c r="A92" s="2">
        <v>45618</v>
      </c>
      <c r="B92" s="4">
        <v>8239</v>
      </c>
      <c r="C92" s="4">
        <v>8344.25</v>
      </c>
      <c r="D92" s="4">
        <v>8215.25</v>
      </c>
      <c r="E92" s="4">
        <v>8210.1</v>
      </c>
      <c r="F92" s="4">
        <v>8327.5</v>
      </c>
      <c r="H92" s="10">
        <f t="shared" si="1"/>
        <v>1.4299460420701286E-2</v>
      </c>
    </row>
    <row r="93" spans="1:8">
      <c r="A93" s="2">
        <v>45617</v>
      </c>
      <c r="B93" s="4">
        <v>8149</v>
      </c>
      <c r="C93" s="4">
        <v>8238.5</v>
      </c>
      <c r="D93" s="4">
        <v>8107.1</v>
      </c>
      <c r="E93" s="4">
        <v>8116.5</v>
      </c>
      <c r="F93" s="4">
        <v>8210.1</v>
      </c>
      <c r="H93" s="10">
        <f t="shared" si="1"/>
        <v>1.1532064313435638E-2</v>
      </c>
    </row>
    <row r="94" spans="1:8">
      <c r="A94" s="2">
        <v>45615</v>
      </c>
      <c r="B94" s="4">
        <v>8006.6</v>
      </c>
      <c r="C94" s="4">
        <v>8239.5</v>
      </c>
      <c r="D94" s="4">
        <v>7995</v>
      </c>
      <c r="E94" s="4">
        <v>8006.6</v>
      </c>
      <c r="F94" s="4">
        <v>8116.5</v>
      </c>
      <c r="H94" s="10">
        <f t="shared" si="1"/>
        <v>1.3726175904878429E-2</v>
      </c>
    </row>
    <row r="95" spans="1:8">
      <c r="A95" s="2">
        <v>45614</v>
      </c>
      <c r="B95" s="4">
        <v>8075</v>
      </c>
      <c r="C95" s="4">
        <v>8091.9</v>
      </c>
      <c r="D95" s="4">
        <v>7905.45</v>
      </c>
      <c r="E95" s="4">
        <v>8074</v>
      </c>
      <c r="F95" s="4">
        <v>8006.6</v>
      </c>
      <c r="H95" s="10">
        <f t="shared" si="1"/>
        <v>-8.3477830071835065E-3</v>
      </c>
    </row>
    <row r="96" spans="1:8">
      <c r="A96" s="2">
        <v>45610</v>
      </c>
      <c r="B96" s="4">
        <v>8060</v>
      </c>
      <c r="C96" s="4">
        <v>8155.55</v>
      </c>
      <c r="D96" s="4">
        <v>7990</v>
      </c>
      <c r="E96" s="4">
        <v>8056.2</v>
      </c>
      <c r="F96" s="4">
        <v>8074</v>
      </c>
      <c r="H96" s="10">
        <f t="shared" si="1"/>
        <v>2.2094784141406844E-3</v>
      </c>
    </row>
    <row r="97" spans="1:8">
      <c r="A97" s="2">
        <v>45609</v>
      </c>
      <c r="B97" s="4">
        <v>8099.25</v>
      </c>
      <c r="C97" s="4">
        <v>8157.3</v>
      </c>
      <c r="D97" s="4">
        <v>8010</v>
      </c>
      <c r="E97" s="4">
        <v>8099.25</v>
      </c>
      <c r="F97" s="4">
        <v>8056.2</v>
      </c>
      <c r="H97" s="10">
        <f t="shared" si="1"/>
        <v>-5.3153069728678806E-3</v>
      </c>
    </row>
    <row r="98" spans="1:8">
      <c r="A98" s="2">
        <v>45608</v>
      </c>
      <c r="B98" s="4">
        <v>8150</v>
      </c>
      <c r="C98" s="4">
        <v>8159.95</v>
      </c>
      <c r="D98" s="4">
        <v>8025</v>
      </c>
      <c r="E98" s="4">
        <v>8066.9</v>
      </c>
      <c r="F98" s="4">
        <v>8099.25</v>
      </c>
      <c r="H98" s="10">
        <f t="shared" si="1"/>
        <v>4.0102145805700285E-3</v>
      </c>
    </row>
    <row r="99" spans="1:8">
      <c r="A99" s="2">
        <v>45607</v>
      </c>
      <c r="B99" s="4">
        <v>7950.7</v>
      </c>
      <c r="C99" s="4">
        <v>8079.95</v>
      </c>
      <c r="D99" s="4">
        <v>7862.9</v>
      </c>
      <c r="E99" s="4">
        <v>7953.8</v>
      </c>
      <c r="F99" s="4">
        <v>8066.9</v>
      </c>
      <c r="H99" s="10">
        <f t="shared" si="1"/>
        <v>1.4219618295657353E-2</v>
      </c>
    </row>
    <row r="100" spans="1:8">
      <c r="A100" s="2">
        <v>45604</v>
      </c>
      <c r="B100" s="4">
        <v>7880</v>
      </c>
      <c r="C100" s="4">
        <v>8030</v>
      </c>
      <c r="D100" s="4">
        <v>7851.8</v>
      </c>
      <c r="E100" s="4">
        <v>7853.35</v>
      </c>
      <c r="F100" s="4">
        <v>7953.8</v>
      </c>
      <c r="H100" s="10">
        <f t="shared" si="1"/>
        <v>1.2790719883871191E-2</v>
      </c>
    </row>
    <row r="101" spans="1:8">
      <c r="A101" s="2">
        <v>45603</v>
      </c>
      <c r="B101" s="4">
        <v>7950</v>
      </c>
      <c r="C101" s="4">
        <v>7950</v>
      </c>
      <c r="D101" s="4">
        <v>7740.5</v>
      </c>
      <c r="E101" s="4">
        <v>7829.5</v>
      </c>
      <c r="F101" s="4">
        <v>7853.35</v>
      </c>
      <c r="H101" s="10">
        <f t="shared" si="1"/>
        <v>3.0461715307491363E-3</v>
      </c>
    </row>
    <row r="102" spans="1:8">
      <c r="A102" s="2">
        <v>45602</v>
      </c>
      <c r="B102" s="4">
        <v>7639</v>
      </c>
      <c r="C102" s="4">
        <v>7908.25</v>
      </c>
      <c r="D102" s="4">
        <v>7602.1</v>
      </c>
      <c r="E102" s="4">
        <v>7546.5</v>
      </c>
      <c r="F102" s="4">
        <v>7829.5</v>
      </c>
      <c r="H102" s="10">
        <f t="shared" si="1"/>
        <v>3.7500828198502617E-2</v>
      </c>
    </row>
    <row r="103" spans="1:8">
      <c r="A103" s="2">
        <v>45601</v>
      </c>
      <c r="B103" s="4">
        <v>7531.8</v>
      </c>
      <c r="C103" s="4">
        <v>7593.7</v>
      </c>
      <c r="D103" s="4">
        <v>7470</v>
      </c>
      <c r="E103" s="4">
        <v>7543.25</v>
      </c>
      <c r="F103" s="4">
        <v>7546.5</v>
      </c>
      <c r="H103" s="10">
        <f t="shared" si="1"/>
        <v>4.3084877208099956E-4</v>
      </c>
    </row>
    <row r="104" spans="1:8">
      <c r="A104" s="2">
        <v>45600</v>
      </c>
      <c r="B104" s="4">
        <v>7565</v>
      </c>
      <c r="C104" s="4">
        <v>7646.55</v>
      </c>
      <c r="D104" s="4">
        <v>7518.7</v>
      </c>
      <c r="E104" s="4">
        <v>7552.7</v>
      </c>
      <c r="F104" s="4">
        <v>7543.25</v>
      </c>
      <c r="H104" s="10">
        <f t="shared" si="1"/>
        <v>-1.2512081772081266E-3</v>
      </c>
    </row>
    <row r="105" spans="1:8">
      <c r="A105" s="2">
        <v>45597</v>
      </c>
      <c r="B105" s="4">
        <v>7620</v>
      </c>
      <c r="C105" s="4">
        <v>7635</v>
      </c>
      <c r="D105" s="4">
        <v>7468.9</v>
      </c>
      <c r="E105" s="4">
        <v>7624.1</v>
      </c>
      <c r="F105" s="4">
        <v>7552.7</v>
      </c>
      <c r="H105" s="10">
        <f t="shared" si="1"/>
        <v>-9.3650398079774058E-3</v>
      </c>
    </row>
    <row r="106" spans="1:8">
      <c r="A106" s="2">
        <v>45596</v>
      </c>
      <c r="B106" s="4">
        <v>7750</v>
      </c>
      <c r="C106" s="4">
        <v>7750</v>
      </c>
      <c r="D106" s="4">
        <v>7420</v>
      </c>
      <c r="E106" s="4">
        <v>7742.4</v>
      </c>
      <c r="F106" s="4">
        <v>7624.1</v>
      </c>
      <c r="H106" s="10">
        <f t="shared" si="1"/>
        <v>-1.5279499896672773E-2</v>
      </c>
    </row>
    <row r="107" spans="1:8">
      <c r="A107" s="2">
        <v>45595</v>
      </c>
      <c r="B107" s="4">
        <v>7753.75</v>
      </c>
      <c r="C107" s="4">
        <v>7894.6</v>
      </c>
      <c r="D107" s="4">
        <v>7702</v>
      </c>
      <c r="E107" s="4">
        <v>7753.75</v>
      </c>
      <c r="F107" s="4">
        <v>7742.4</v>
      </c>
      <c r="H107" s="10">
        <f t="shared" si="1"/>
        <v>-1.4638078349186348E-3</v>
      </c>
    </row>
    <row r="108" spans="1:8">
      <c r="A108" s="2">
        <v>45594</v>
      </c>
      <c r="B108" s="4">
        <v>7740</v>
      </c>
      <c r="C108" s="4">
        <v>7773</v>
      </c>
      <c r="D108" s="4">
        <v>7583.15</v>
      </c>
      <c r="E108" s="4">
        <v>7705.35</v>
      </c>
      <c r="F108" s="4">
        <v>7753.75</v>
      </c>
      <c r="H108" s="10">
        <f t="shared" si="1"/>
        <v>6.2813499711239116E-3</v>
      </c>
    </row>
    <row r="109" spans="1:8">
      <c r="A109" s="2">
        <v>45593</v>
      </c>
      <c r="B109" s="4">
        <v>7715.5</v>
      </c>
      <c r="C109" s="4">
        <v>7789</v>
      </c>
      <c r="D109" s="4">
        <v>7588.1</v>
      </c>
      <c r="E109" s="4">
        <v>7739.85</v>
      </c>
      <c r="F109" s="4">
        <v>7705.35</v>
      </c>
      <c r="H109" s="10">
        <f t="shared" si="1"/>
        <v>-4.4574507257892594E-3</v>
      </c>
    </row>
    <row r="110" spans="1:8">
      <c r="A110" s="2">
        <v>45590</v>
      </c>
      <c r="B110" s="4">
        <v>7685.5</v>
      </c>
      <c r="C110" s="4">
        <v>7787.7</v>
      </c>
      <c r="D110" s="4">
        <v>7618.8</v>
      </c>
      <c r="E110" s="4">
        <v>7699.05</v>
      </c>
      <c r="F110" s="4">
        <v>7739.85</v>
      </c>
      <c r="H110" s="10">
        <f t="shared" si="1"/>
        <v>5.2993551152415146E-3</v>
      </c>
    </row>
    <row r="111" spans="1:8">
      <c r="A111" s="2">
        <v>45589</v>
      </c>
      <c r="B111" s="4">
        <v>7535</v>
      </c>
      <c r="C111" s="4">
        <v>7783.1</v>
      </c>
      <c r="D111" s="4">
        <v>7515.25</v>
      </c>
      <c r="E111" s="4">
        <v>7557.8</v>
      </c>
      <c r="F111" s="4">
        <v>7699.05</v>
      </c>
      <c r="H111" s="10">
        <f t="shared" si="1"/>
        <v>1.8689301119373364E-2</v>
      </c>
    </row>
    <row r="112" spans="1:8">
      <c r="A112" s="2">
        <v>45588</v>
      </c>
      <c r="B112" s="4">
        <v>6948.95</v>
      </c>
      <c r="C112" s="4">
        <v>7648.7</v>
      </c>
      <c r="D112" s="4">
        <v>6935</v>
      </c>
      <c r="E112" s="4">
        <v>6800.25</v>
      </c>
      <c r="F112" s="4">
        <v>7557.8</v>
      </c>
      <c r="H112" s="10">
        <f t="shared" si="1"/>
        <v>0.11140031616484691</v>
      </c>
    </row>
    <row r="113" spans="1:8">
      <c r="A113" s="2">
        <v>45587</v>
      </c>
      <c r="B113" s="4">
        <v>6830.25</v>
      </c>
      <c r="C113" s="4">
        <v>6924</v>
      </c>
      <c r="D113" s="4">
        <v>6710.05</v>
      </c>
      <c r="E113" s="4">
        <v>6825.25</v>
      </c>
      <c r="F113" s="4">
        <v>6800.25</v>
      </c>
      <c r="H113" s="10">
        <f t="shared" si="1"/>
        <v>-3.6628694919600014E-3</v>
      </c>
    </row>
    <row r="114" spans="1:8">
      <c r="A114" s="2">
        <v>45586</v>
      </c>
      <c r="B114" s="4">
        <v>7210.4</v>
      </c>
      <c r="C114" s="4">
        <v>7236.75</v>
      </c>
      <c r="D114" s="4">
        <v>6740.65</v>
      </c>
      <c r="E114" s="4">
        <v>7210.4</v>
      </c>
      <c r="F114" s="4">
        <v>6825.25</v>
      </c>
      <c r="H114" s="10">
        <f t="shared" si="1"/>
        <v>-5.3415899256629262E-2</v>
      </c>
    </row>
    <row r="115" spans="1:8">
      <c r="A115" s="2">
        <v>45583</v>
      </c>
      <c r="B115" s="4">
        <v>7211.05</v>
      </c>
      <c r="C115" s="4">
        <v>7233.95</v>
      </c>
      <c r="D115" s="4">
        <v>7130.05</v>
      </c>
      <c r="E115" s="4">
        <v>7257.25</v>
      </c>
      <c r="F115" s="4">
        <v>7210.4</v>
      </c>
      <c r="H115" s="10">
        <f t="shared" si="1"/>
        <v>-6.4556133521651267E-3</v>
      </c>
    </row>
    <row r="116" spans="1:8">
      <c r="A116" s="2">
        <v>45582</v>
      </c>
      <c r="B116" s="4">
        <v>7230</v>
      </c>
      <c r="C116" s="4">
        <v>7280</v>
      </c>
      <c r="D116" s="4">
        <v>7159</v>
      </c>
      <c r="E116" s="4">
        <v>7204.25</v>
      </c>
      <c r="F116" s="4">
        <v>7257.25</v>
      </c>
      <c r="H116" s="10">
        <f t="shared" si="1"/>
        <v>7.3567685741055631E-3</v>
      </c>
    </row>
    <row r="117" spans="1:8">
      <c r="A117" s="2">
        <v>45581</v>
      </c>
      <c r="B117" s="4">
        <v>7440</v>
      </c>
      <c r="C117" s="4">
        <v>7440</v>
      </c>
      <c r="D117" s="4">
        <v>7156.75</v>
      </c>
      <c r="E117" s="4">
        <v>7469.95</v>
      </c>
      <c r="F117" s="4">
        <v>7204.25</v>
      </c>
      <c r="H117" s="10">
        <f t="shared" si="1"/>
        <v>-3.5569180516603169E-2</v>
      </c>
    </row>
    <row r="118" spans="1:8">
      <c r="A118" s="2">
        <v>45580</v>
      </c>
      <c r="B118" s="4">
        <v>7494.6</v>
      </c>
      <c r="C118" s="4">
        <v>7585</v>
      </c>
      <c r="D118" s="4">
        <v>7436</v>
      </c>
      <c r="E118" s="4">
        <v>7432.1</v>
      </c>
      <c r="F118" s="4">
        <v>7469.95</v>
      </c>
      <c r="H118" s="10">
        <f t="shared" si="1"/>
        <v>5.0927732404030422E-3</v>
      </c>
    </row>
    <row r="119" spans="1:8">
      <c r="A119" s="2">
        <v>45579</v>
      </c>
      <c r="B119" s="4">
        <v>7380.4</v>
      </c>
      <c r="C119" s="4">
        <v>7460</v>
      </c>
      <c r="D119" s="4">
        <v>7285</v>
      </c>
      <c r="E119" s="4">
        <v>7380.6</v>
      </c>
      <c r="F119" s="4">
        <v>7432.1</v>
      </c>
      <c r="H119" s="10">
        <f t="shared" si="1"/>
        <v>6.9777524862477298E-3</v>
      </c>
    </row>
    <row r="120" spans="1:8">
      <c r="A120" s="2">
        <v>45576</v>
      </c>
      <c r="B120" s="4">
        <v>7225</v>
      </c>
      <c r="C120" s="4">
        <v>7425.5</v>
      </c>
      <c r="D120" s="4">
        <v>7221.1</v>
      </c>
      <c r="E120" s="4">
        <v>7281.5</v>
      </c>
      <c r="F120" s="4">
        <v>7380.6</v>
      </c>
      <c r="H120" s="10">
        <f t="shared" si="1"/>
        <v>1.3609833138776402E-2</v>
      </c>
    </row>
    <row r="121" spans="1:8">
      <c r="A121" s="2">
        <v>45575</v>
      </c>
      <c r="B121" s="4">
        <v>7429</v>
      </c>
      <c r="C121" s="4">
        <v>7429</v>
      </c>
      <c r="D121" s="4">
        <v>7263</v>
      </c>
      <c r="E121" s="4">
        <v>7377.35</v>
      </c>
      <c r="F121" s="4">
        <v>7281.5</v>
      </c>
      <c r="H121" s="10">
        <f t="shared" si="1"/>
        <v>-1.2992470195937614E-2</v>
      </c>
    </row>
    <row r="122" spans="1:8">
      <c r="A122" s="2">
        <v>45574</v>
      </c>
      <c r="B122" s="4">
        <v>7361</v>
      </c>
      <c r="C122" s="4">
        <v>7417.95</v>
      </c>
      <c r="D122" s="4">
        <v>7321.05</v>
      </c>
      <c r="E122" s="4">
        <v>7321.95</v>
      </c>
      <c r="F122" s="4">
        <v>7377.35</v>
      </c>
      <c r="H122" s="10">
        <f t="shared" si="1"/>
        <v>7.5662904007812873E-3</v>
      </c>
    </row>
    <row r="123" spans="1:8">
      <c r="A123" s="2">
        <v>45573</v>
      </c>
      <c r="B123" s="4">
        <v>7274</v>
      </c>
      <c r="C123" s="4">
        <v>7347.05</v>
      </c>
      <c r="D123" s="4">
        <v>7075.05</v>
      </c>
      <c r="E123" s="4">
        <v>7208.05</v>
      </c>
      <c r="F123" s="4">
        <v>7321.95</v>
      </c>
      <c r="H123" s="10">
        <f t="shared" si="1"/>
        <v>1.5801777179680999E-2</v>
      </c>
    </row>
    <row r="124" spans="1:8">
      <c r="A124" s="2">
        <v>45572</v>
      </c>
      <c r="B124" s="4">
        <v>7194.45</v>
      </c>
      <c r="C124" s="4">
        <v>7285</v>
      </c>
      <c r="D124" s="4">
        <v>7100.35</v>
      </c>
      <c r="E124" s="4">
        <v>7125.55</v>
      </c>
      <c r="F124" s="4">
        <v>7208.05</v>
      </c>
      <c r="H124" s="10">
        <f t="shared" si="1"/>
        <v>1.1578053623930783E-2</v>
      </c>
    </row>
    <row r="125" spans="1:8">
      <c r="A125" s="2">
        <v>45569</v>
      </c>
      <c r="B125" s="4">
        <v>7050</v>
      </c>
      <c r="C125" s="4">
        <v>7234.95</v>
      </c>
      <c r="D125" s="4">
        <v>7032.15</v>
      </c>
      <c r="E125" s="4">
        <v>7060.15</v>
      </c>
      <c r="F125" s="4">
        <v>7125.55</v>
      </c>
      <c r="H125" s="10">
        <f t="shared" si="1"/>
        <v>9.2632592791938619E-3</v>
      </c>
    </row>
    <row r="126" spans="1:8">
      <c r="A126" s="2">
        <v>45568</v>
      </c>
      <c r="B126" s="4">
        <v>6952</v>
      </c>
      <c r="C126" s="4">
        <v>7247.45</v>
      </c>
      <c r="D126" s="4">
        <v>6952</v>
      </c>
      <c r="E126" s="4">
        <v>7126.45</v>
      </c>
      <c r="F126" s="4">
        <v>7060.15</v>
      </c>
      <c r="H126" s="10">
        <f t="shared" si="1"/>
        <v>-9.3033698405237085E-3</v>
      </c>
    </row>
    <row r="127" spans="1:8">
      <c r="A127" s="2">
        <v>45566</v>
      </c>
      <c r="B127" s="4">
        <v>7000</v>
      </c>
      <c r="C127" s="4">
        <v>7139</v>
      </c>
      <c r="D127" s="4">
        <v>6980.05</v>
      </c>
      <c r="E127" s="4">
        <v>7016.45</v>
      </c>
      <c r="F127" s="4">
        <v>7126.45</v>
      </c>
      <c r="H127" s="10">
        <f t="shared" si="1"/>
        <v>1.5677443721540094E-2</v>
      </c>
    </row>
    <row r="128" spans="1:8">
      <c r="A128" s="2">
        <v>45565</v>
      </c>
      <c r="B128" s="4">
        <v>6936.5</v>
      </c>
      <c r="C128" s="4">
        <v>7029.3</v>
      </c>
      <c r="D128" s="4">
        <v>6874.95</v>
      </c>
      <c r="E128" s="4">
        <v>6935.35</v>
      </c>
      <c r="F128" s="4">
        <v>7016.45</v>
      </c>
      <c r="H128" s="10">
        <f t="shared" si="1"/>
        <v>1.1693714087969525E-2</v>
      </c>
    </row>
    <row r="129" spans="1:8">
      <c r="A129" s="2">
        <v>45562</v>
      </c>
      <c r="B129" s="4">
        <v>7011.9</v>
      </c>
      <c r="C129" s="4">
        <v>7149</v>
      </c>
      <c r="D129" s="4">
        <v>6921.3</v>
      </c>
      <c r="E129" s="4">
        <v>6874.25</v>
      </c>
      <c r="F129" s="4">
        <v>6935.35</v>
      </c>
      <c r="H129" s="10">
        <f t="shared" si="1"/>
        <v>8.8882423537113668E-3</v>
      </c>
    </row>
    <row r="130" spans="1:8">
      <c r="A130" s="2">
        <v>45561</v>
      </c>
      <c r="B130" s="4">
        <v>6965.25</v>
      </c>
      <c r="C130" s="4">
        <v>6974.95</v>
      </c>
      <c r="D130" s="4">
        <v>6786.85</v>
      </c>
      <c r="E130" s="4">
        <v>6906.8</v>
      </c>
      <c r="F130" s="4">
        <v>6874.25</v>
      </c>
      <c r="H130" s="10">
        <f t="shared" si="1"/>
        <v>-4.7127468581687872E-3</v>
      </c>
    </row>
    <row r="131" spans="1:8">
      <c r="A131" s="2">
        <v>45560</v>
      </c>
      <c r="B131" s="4">
        <v>6998</v>
      </c>
      <c r="C131" s="4">
        <v>7082.45</v>
      </c>
      <c r="D131" s="4">
        <v>6862</v>
      </c>
      <c r="E131" s="4">
        <v>6998</v>
      </c>
      <c r="F131" s="4">
        <v>6906.8</v>
      </c>
      <c r="H131" s="10">
        <f t="shared" si="1"/>
        <v>-1.3032294941411806E-2</v>
      </c>
    </row>
    <row r="132" spans="1:8">
      <c r="A132" s="2">
        <v>45559</v>
      </c>
      <c r="B132" s="4">
        <v>6889</v>
      </c>
      <c r="C132" s="4">
        <v>7015.6</v>
      </c>
      <c r="D132" s="4">
        <v>6841.5</v>
      </c>
      <c r="E132" s="4">
        <v>6885.3</v>
      </c>
      <c r="F132" s="4">
        <v>6998</v>
      </c>
      <c r="H132" s="10">
        <f t="shared" si="1"/>
        <v>1.6368204726010461E-2</v>
      </c>
    </row>
    <row r="133" spans="1:8">
      <c r="A133" s="2">
        <v>45558</v>
      </c>
      <c r="B133" s="4">
        <v>6970</v>
      </c>
      <c r="C133" s="4">
        <v>7003.85</v>
      </c>
      <c r="D133" s="4">
        <v>6870</v>
      </c>
      <c r="E133" s="4">
        <v>6945.35</v>
      </c>
      <c r="F133" s="4">
        <v>6885.3</v>
      </c>
      <c r="H133" s="10">
        <f t="shared" ref="H133:H196" si="2">(F133-E133)/E133</f>
        <v>-8.6460725521392261E-3</v>
      </c>
    </row>
    <row r="134" spans="1:8">
      <c r="A134" s="2">
        <v>45555</v>
      </c>
      <c r="B134" s="4">
        <v>6970</v>
      </c>
      <c r="C134" s="4">
        <v>6978.95</v>
      </c>
      <c r="D134" s="4">
        <v>6844</v>
      </c>
      <c r="E134" s="4">
        <v>6915.6</v>
      </c>
      <c r="F134" s="4">
        <v>6945.35</v>
      </c>
      <c r="H134" s="10">
        <f t="shared" si="2"/>
        <v>4.3018682399213366E-3</v>
      </c>
    </row>
    <row r="135" spans="1:8">
      <c r="A135" s="2">
        <v>45554</v>
      </c>
      <c r="B135" s="4">
        <v>7010</v>
      </c>
      <c r="C135" s="4">
        <v>7082.95</v>
      </c>
      <c r="D135" s="4">
        <v>6827.1</v>
      </c>
      <c r="E135" s="4">
        <v>6860.75</v>
      </c>
      <c r="F135" s="4">
        <v>6915.6</v>
      </c>
      <c r="H135" s="10">
        <f t="shared" si="2"/>
        <v>7.9947527602667878E-3</v>
      </c>
    </row>
    <row r="136" spans="1:8">
      <c r="A136" s="2">
        <v>45553</v>
      </c>
      <c r="B136" s="4">
        <v>7000</v>
      </c>
      <c r="C136" s="4">
        <v>7000</v>
      </c>
      <c r="D136" s="4">
        <v>6770</v>
      </c>
      <c r="E136" s="4">
        <v>6998.55</v>
      </c>
      <c r="F136" s="4">
        <v>6860.75</v>
      </c>
      <c r="H136" s="10">
        <f t="shared" si="2"/>
        <v>-1.9689792885669199E-2</v>
      </c>
    </row>
    <row r="137" spans="1:8">
      <c r="A137" s="2">
        <v>45552</v>
      </c>
      <c r="B137" s="4">
        <v>6923.75</v>
      </c>
      <c r="C137" s="4">
        <v>7049</v>
      </c>
      <c r="D137" s="4">
        <v>6920.2</v>
      </c>
      <c r="E137" s="4">
        <v>6989.3</v>
      </c>
      <c r="F137" s="4">
        <v>6998.55</v>
      </c>
      <c r="H137" s="10">
        <f t="shared" si="2"/>
        <v>1.3234515616728428E-3</v>
      </c>
    </row>
    <row r="138" spans="1:8">
      <c r="A138" s="2">
        <v>45551</v>
      </c>
      <c r="B138" s="4">
        <v>7015</v>
      </c>
      <c r="C138" s="4">
        <v>7088.1</v>
      </c>
      <c r="D138" s="4">
        <v>6923.75</v>
      </c>
      <c r="E138" s="4">
        <v>7013.75</v>
      </c>
      <c r="F138" s="4">
        <v>6989.3</v>
      </c>
      <c r="H138" s="10">
        <f t="shared" si="2"/>
        <v>-3.4860096239529236E-3</v>
      </c>
    </row>
    <row r="139" spans="1:8">
      <c r="A139" s="2">
        <v>45548</v>
      </c>
      <c r="B139" s="4">
        <v>6900</v>
      </c>
      <c r="C139" s="4">
        <v>7043.95</v>
      </c>
      <c r="D139" s="4">
        <v>6814.9</v>
      </c>
      <c r="E139" s="4">
        <v>6876.5</v>
      </c>
      <c r="F139" s="4">
        <v>7013.75</v>
      </c>
      <c r="H139" s="10">
        <f t="shared" si="2"/>
        <v>1.995928161128481E-2</v>
      </c>
    </row>
    <row r="140" spans="1:8">
      <c r="A140" s="2">
        <v>45547</v>
      </c>
      <c r="B140" s="4">
        <v>6898</v>
      </c>
      <c r="C140" s="4">
        <v>6929</v>
      </c>
      <c r="D140" s="4">
        <v>6810.05</v>
      </c>
      <c r="E140" s="4">
        <v>6841.1</v>
      </c>
      <c r="F140" s="4">
        <v>6876.5</v>
      </c>
      <c r="H140" s="10">
        <f t="shared" si="2"/>
        <v>5.1746064229436254E-3</v>
      </c>
    </row>
    <row r="141" spans="1:8">
      <c r="A141" s="2">
        <v>45546</v>
      </c>
      <c r="B141" s="4">
        <v>6807</v>
      </c>
      <c r="C141" s="4">
        <v>6912.3</v>
      </c>
      <c r="D141" s="4">
        <v>6777</v>
      </c>
      <c r="E141" s="4">
        <v>6807</v>
      </c>
      <c r="F141" s="4">
        <v>6841.1</v>
      </c>
      <c r="H141" s="10">
        <f t="shared" si="2"/>
        <v>5.0095489936830264E-3</v>
      </c>
    </row>
    <row r="142" spans="1:8">
      <c r="A142" s="2">
        <v>45545</v>
      </c>
      <c r="B142" s="4">
        <v>6610</v>
      </c>
      <c r="C142" s="4">
        <v>6872.8</v>
      </c>
      <c r="D142" s="4">
        <v>6604.05</v>
      </c>
      <c r="E142" s="4">
        <v>6490.75</v>
      </c>
      <c r="F142" s="4">
        <v>6807</v>
      </c>
      <c r="H142" s="10">
        <f t="shared" si="2"/>
        <v>4.8723182991179753E-2</v>
      </c>
    </row>
    <row r="143" spans="1:8">
      <c r="A143" s="2">
        <v>45544</v>
      </c>
      <c r="B143" s="4">
        <v>6555.7</v>
      </c>
      <c r="C143" s="4">
        <v>6693</v>
      </c>
      <c r="D143" s="4">
        <v>6431.15</v>
      </c>
      <c r="E143" s="4">
        <v>6624.65</v>
      </c>
      <c r="F143" s="4">
        <v>6490.75</v>
      </c>
      <c r="H143" s="10">
        <f t="shared" si="2"/>
        <v>-2.0212388579019216E-2</v>
      </c>
    </row>
    <row r="144" spans="1:8">
      <c r="A144" s="2">
        <v>45541</v>
      </c>
      <c r="B144" s="4">
        <v>6551.25</v>
      </c>
      <c r="C144" s="4">
        <v>6713.75</v>
      </c>
      <c r="D144" s="4">
        <v>6540</v>
      </c>
      <c r="E144" s="4">
        <v>6551.25</v>
      </c>
      <c r="F144" s="4">
        <v>6624.65</v>
      </c>
      <c r="H144" s="10">
        <f t="shared" si="2"/>
        <v>1.1203968708261727E-2</v>
      </c>
    </row>
    <row r="145" spans="1:8">
      <c r="A145" s="2">
        <v>45540</v>
      </c>
      <c r="B145" s="4">
        <v>6377</v>
      </c>
      <c r="C145" s="4">
        <v>6580</v>
      </c>
      <c r="D145" s="4">
        <v>6313.7</v>
      </c>
      <c r="E145" s="4">
        <v>6331.1</v>
      </c>
      <c r="F145" s="4">
        <v>6551.25</v>
      </c>
      <c r="H145" s="10">
        <f t="shared" si="2"/>
        <v>3.4772788299031701E-2</v>
      </c>
    </row>
    <row r="146" spans="1:8">
      <c r="A146" s="2">
        <v>45539</v>
      </c>
      <c r="B146" s="4">
        <v>6242.1</v>
      </c>
      <c r="C146" s="4">
        <v>6342.65</v>
      </c>
      <c r="D146" s="4">
        <v>6222.7</v>
      </c>
      <c r="E146" s="4">
        <v>6407.6</v>
      </c>
      <c r="F146" s="4">
        <v>6331.1</v>
      </c>
      <c r="H146" s="10">
        <f t="shared" si="2"/>
        <v>-1.1938947499843935E-2</v>
      </c>
    </row>
    <row r="147" spans="1:8">
      <c r="A147" s="2">
        <v>45538</v>
      </c>
      <c r="B147" s="4">
        <v>6344</v>
      </c>
      <c r="C147" s="4">
        <v>6425.55</v>
      </c>
      <c r="D147" s="4">
        <v>6313.85</v>
      </c>
      <c r="E147" s="4">
        <v>6340.6</v>
      </c>
      <c r="F147" s="4">
        <v>6407.6</v>
      </c>
      <c r="H147" s="10">
        <f t="shared" si="2"/>
        <v>1.0566823329022489E-2</v>
      </c>
    </row>
    <row r="148" spans="1:8">
      <c r="A148" s="2">
        <v>45537</v>
      </c>
      <c r="B148" s="4">
        <v>6345</v>
      </c>
      <c r="C148" s="4">
        <v>6447.7</v>
      </c>
      <c r="D148" s="4">
        <v>6304.1</v>
      </c>
      <c r="E148" s="4">
        <v>6344.05</v>
      </c>
      <c r="F148" s="4">
        <v>6340.6</v>
      </c>
      <c r="H148" s="10">
        <f t="shared" si="2"/>
        <v>-5.4381664709449292E-4</v>
      </c>
    </row>
    <row r="149" spans="1:8">
      <c r="A149" s="2">
        <v>45534</v>
      </c>
      <c r="B149" s="4">
        <v>6290</v>
      </c>
      <c r="C149" s="4">
        <v>6387.9</v>
      </c>
      <c r="D149" s="4">
        <v>6237.95</v>
      </c>
      <c r="E149" s="4">
        <v>6282.25</v>
      </c>
      <c r="F149" s="4">
        <v>6344.05</v>
      </c>
      <c r="H149" s="10">
        <f t="shared" si="2"/>
        <v>9.8372398424131768E-3</v>
      </c>
    </row>
    <row r="150" spans="1:8">
      <c r="A150" s="2">
        <v>45533</v>
      </c>
      <c r="B150" s="4">
        <v>6238</v>
      </c>
      <c r="C150" s="4">
        <v>6348.85</v>
      </c>
      <c r="D150" s="4">
        <v>6185.15</v>
      </c>
      <c r="E150" s="4">
        <v>6255.45</v>
      </c>
      <c r="F150" s="4">
        <v>6282.25</v>
      </c>
      <c r="H150" s="10">
        <f t="shared" si="2"/>
        <v>4.2842641216859195E-3</v>
      </c>
    </row>
    <row r="151" spans="1:8">
      <c r="A151" s="2">
        <v>45532</v>
      </c>
      <c r="B151" s="4">
        <v>6090</v>
      </c>
      <c r="C151" s="4">
        <v>6345</v>
      </c>
      <c r="D151" s="4">
        <v>6080.9</v>
      </c>
      <c r="E151" s="4">
        <v>6080.9</v>
      </c>
      <c r="F151" s="4">
        <v>6255.45</v>
      </c>
      <c r="H151" s="10">
        <f t="shared" si="2"/>
        <v>2.8704632537946716E-2</v>
      </c>
    </row>
    <row r="152" spans="1:8">
      <c r="A152" s="2">
        <v>45531</v>
      </c>
      <c r="B152" s="4">
        <v>6048</v>
      </c>
      <c r="C152" s="4">
        <v>6130</v>
      </c>
      <c r="D152" s="4">
        <v>6026.15</v>
      </c>
      <c r="E152" s="4">
        <v>6026.15</v>
      </c>
      <c r="F152" s="4">
        <v>6080.9</v>
      </c>
      <c r="H152" s="10">
        <f t="shared" si="2"/>
        <v>9.0854027861901887E-3</v>
      </c>
    </row>
    <row r="153" spans="1:8">
      <c r="A153" s="2">
        <v>45530</v>
      </c>
      <c r="B153" s="4">
        <v>6052.35</v>
      </c>
      <c r="C153" s="4">
        <v>6181.6</v>
      </c>
      <c r="D153" s="4">
        <v>6012.25</v>
      </c>
      <c r="E153" s="4">
        <v>6022.25</v>
      </c>
      <c r="F153" s="4">
        <v>6026.15</v>
      </c>
      <c r="H153" s="10">
        <f t="shared" si="2"/>
        <v>6.475984889367987E-4</v>
      </c>
    </row>
    <row r="154" spans="1:8">
      <c r="A154" s="2">
        <v>45527</v>
      </c>
      <c r="B154" s="4">
        <v>6089</v>
      </c>
      <c r="C154" s="4">
        <v>6089.55</v>
      </c>
      <c r="D154" s="4">
        <v>5981.05</v>
      </c>
      <c r="E154" s="4">
        <v>6084.2</v>
      </c>
      <c r="F154" s="4">
        <v>6022.25</v>
      </c>
      <c r="H154" s="10">
        <f t="shared" si="2"/>
        <v>-1.0182111041714575E-2</v>
      </c>
    </row>
    <row r="155" spans="1:8">
      <c r="A155" s="2">
        <v>45526</v>
      </c>
      <c r="B155" s="4">
        <v>6122</v>
      </c>
      <c r="C155" s="4">
        <v>6195</v>
      </c>
      <c r="D155" s="4">
        <v>6075.1</v>
      </c>
      <c r="E155" s="4">
        <v>6090.35</v>
      </c>
      <c r="F155" s="4">
        <v>6084.2</v>
      </c>
      <c r="H155" s="10">
        <f t="shared" si="2"/>
        <v>-1.0097941826004327E-3</v>
      </c>
    </row>
    <row r="156" spans="1:8">
      <c r="A156" s="2">
        <v>45525</v>
      </c>
      <c r="B156" s="4">
        <v>6135</v>
      </c>
      <c r="C156" s="4">
        <v>6163.95</v>
      </c>
      <c r="D156" s="4">
        <v>6054.45</v>
      </c>
      <c r="E156" s="4">
        <v>6115.25</v>
      </c>
      <c r="F156" s="4">
        <v>6090.35</v>
      </c>
      <c r="H156" s="10">
        <f t="shared" si="2"/>
        <v>-4.0717877437553059E-3</v>
      </c>
    </row>
    <row r="157" spans="1:8">
      <c r="A157" s="2">
        <v>45524</v>
      </c>
      <c r="B157" s="4">
        <v>6090</v>
      </c>
      <c r="C157" s="4">
        <v>6210.1</v>
      </c>
      <c r="D157" s="4">
        <v>6084.95</v>
      </c>
      <c r="E157" s="4">
        <v>6059.65</v>
      </c>
      <c r="F157" s="4">
        <v>6115.25</v>
      </c>
      <c r="H157" s="10">
        <f t="shared" si="2"/>
        <v>9.1754474268316427E-3</v>
      </c>
    </row>
    <row r="158" spans="1:8">
      <c r="A158" s="2">
        <v>45523</v>
      </c>
      <c r="B158" s="4">
        <v>6120</v>
      </c>
      <c r="C158" s="4">
        <v>6150</v>
      </c>
      <c r="D158" s="4">
        <v>6034.55</v>
      </c>
      <c r="E158" s="4">
        <v>6077</v>
      </c>
      <c r="F158" s="4">
        <v>6059.65</v>
      </c>
      <c r="H158" s="10">
        <f t="shared" si="2"/>
        <v>-2.8550271515551035E-3</v>
      </c>
    </row>
    <row r="159" spans="1:8">
      <c r="A159" s="2">
        <v>45520</v>
      </c>
      <c r="B159" s="4">
        <v>5972.7</v>
      </c>
      <c r="C159" s="4">
        <v>6089</v>
      </c>
      <c r="D159" s="4">
        <v>5926</v>
      </c>
      <c r="E159" s="4">
        <v>5870.3</v>
      </c>
      <c r="F159" s="4">
        <v>6077</v>
      </c>
      <c r="H159" s="10">
        <f t="shared" si="2"/>
        <v>3.5211147641517435E-2</v>
      </c>
    </row>
    <row r="160" spans="1:8">
      <c r="A160" s="2">
        <v>45518</v>
      </c>
      <c r="B160" s="4">
        <v>5869</v>
      </c>
      <c r="C160" s="4">
        <v>5925</v>
      </c>
      <c r="D160" s="4">
        <v>5790.55</v>
      </c>
      <c r="E160" s="4">
        <v>5847.75</v>
      </c>
      <c r="F160" s="4">
        <v>5870.3</v>
      </c>
      <c r="H160" s="10">
        <f t="shared" si="2"/>
        <v>3.8561840023941143E-3</v>
      </c>
    </row>
    <row r="161" spans="1:8">
      <c r="A161" s="2">
        <v>45517</v>
      </c>
      <c r="B161" s="4">
        <v>5875</v>
      </c>
      <c r="C161" s="4">
        <v>5947.8</v>
      </c>
      <c r="D161" s="4">
        <v>5814.55</v>
      </c>
      <c r="E161" s="4">
        <v>5874.55</v>
      </c>
      <c r="F161" s="4">
        <v>5847.75</v>
      </c>
      <c r="H161" s="10">
        <f t="shared" si="2"/>
        <v>-4.562051561396223E-3</v>
      </c>
    </row>
    <row r="162" spans="1:8">
      <c r="A162" s="2">
        <v>45516</v>
      </c>
      <c r="B162" s="4">
        <v>5894.95</v>
      </c>
      <c r="C162" s="4">
        <v>5899</v>
      </c>
      <c r="D162" s="4">
        <v>5766</v>
      </c>
      <c r="E162" s="4">
        <v>5878.4</v>
      </c>
      <c r="F162" s="4">
        <v>5874.55</v>
      </c>
      <c r="H162" s="10">
        <f t="shared" si="2"/>
        <v>-6.549401197603863E-4</v>
      </c>
    </row>
    <row r="163" spans="1:8">
      <c r="A163" s="2">
        <v>45513</v>
      </c>
      <c r="B163" s="4">
        <v>5960</v>
      </c>
      <c r="C163" s="4">
        <v>5994.55</v>
      </c>
      <c r="D163" s="4">
        <v>5840.65</v>
      </c>
      <c r="E163" s="4">
        <v>5845.1</v>
      </c>
      <c r="F163" s="4">
        <v>5878.4</v>
      </c>
      <c r="H163" s="10">
        <f t="shared" si="2"/>
        <v>5.6970796051392224E-3</v>
      </c>
    </row>
    <row r="164" spans="1:8">
      <c r="A164" s="2">
        <v>45512</v>
      </c>
      <c r="B164" s="4">
        <v>6000.15</v>
      </c>
      <c r="C164" s="4">
        <v>6018.7</v>
      </c>
      <c r="D164" s="4">
        <v>5831.5</v>
      </c>
      <c r="E164" s="4">
        <v>6016.7</v>
      </c>
      <c r="F164" s="4">
        <v>5845.1</v>
      </c>
      <c r="H164" s="10">
        <f t="shared" si="2"/>
        <v>-2.8520617614306756E-2</v>
      </c>
    </row>
    <row r="165" spans="1:8">
      <c r="A165" s="2">
        <v>45511</v>
      </c>
      <c r="B165" s="4">
        <v>5910</v>
      </c>
      <c r="C165" s="4">
        <v>6036</v>
      </c>
      <c r="D165" s="4">
        <v>5910</v>
      </c>
      <c r="E165" s="4">
        <v>5896</v>
      </c>
      <c r="F165" s="4">
        <v>6016.7</v>
      </c>
      <c r="H165" s="10">
        <f t="shared" si="2"/>
        <v>2.0471506105834432E-2</v>
      </c>
    </row>
    <row r="166" spans="1:8">
      <c r="A166" s="2">
        <v>45510</v>
      </c>
      <c r="B166" s="4">
        <v>5926.35</v>
      </c>
      <c r="C166" s="4">
        <v>6099</v>
      </c>
      <c r="D166" s="4">
        <v>5871.35</v>
      </c>
      <c r="E166" s="4">
        <v>5897.05</v>
      </c>
      <c r="F166" s="4">
        <v>5896</v>
      </c>
      <c r="H166" s="10">
        <f t="shared" si="2"/>
        <v>-1.7805512925957588E-4</v>
      </c>
    </row>
    <row r="167" spans="1:8">
      <c r="A167" s="2">
        <v>45509</v>
      </c>
      <c r="B167" s="4">
        <v>5800</v>
      </c>
      <c r="C167" s="4">
        <v>5932.1</v>
      </c>
      <c r="D167" s="4">
        <v>5749</v>
      </c>
      <c r="E167" s="4">
        <v>6080</v>
      </c>
      <c r="F167" s="4">
        <v>5897.05</v>
      </c>
      <c r="H167" s="10">
        <f t="shared" si="2"/>
        <v>-3.0090460526315761E-2</v>
      </c>
    </row>
    <row r="168" spans="1:8">
      <c r="A168" s="2">
        <v>45506</v>
      </c>
      <c r="B168" s="4">
        <v>6190</v>
      </c>
      <c r="C168" s="4">
        <v>6229.9</v>
      </c>
      <c r="D168" s="4">
        <v>6060</v>
      </c>
      <c r="E168" s="4">
        <v>6286.15</v>
      </c>
      <c r="F168" s="4">
        <v>6080</v>
      </c>
      <c r="H168" s="10">
        <f t="shared" si="2"/>
        <v>-3.2794317666616238E-2</v>
      </c>
    </row>
    <row r="169" spans="1:8">
      <c r="A169" s="2">
        <v>45505</v>
      </c>
      <c r="B169" s="4">
        <v>6342.45</v>
      </c>
      <c r="C169" s="4">
        <v>6357</v>
      </c>
      <c r="D169" s="4">
        <v>6230.1</v>
      </c>
      <c r="E169" s="4">
        <v>6305.5</v>
      </c>
      <c r="F169" s="4">
        <v>6286.15</v>
      </c>
      <c r="H169" s="10">
        <f t="shared" si="2"/>
        <v>-3.0687495044009775E-3</v>
      </c>
    </row>
    <row r="170" spans="1:8">
      <c r="A170" s="2">
        <v>45504</v>
      </c>
      <c r="B170" s="4">
        <v>6299.85</v>
      </c>
      <c r="C170" s="4">
        <v>6375</v>
      </c>
      <c r="D170" s="4">
        <v>6268.7</v>
      </c>
      <c r="E170" s="4">
        <v>6313</v>
      </c>
      <c r="F170" s="4">
        <v>6305.5</v>
      </c>
      <c r="H170" s="10">
        <f t="shared" si="2"/>
        <v>-1.1880247109139869E-3</v>
      </c>
    </row>
    <row r="171" spans="1:8">
      <c r="A171" s="2">
        <v>45503</v>
      </c>
      <c r="B171" s="4">
        <v>6310</v>
      </c>
      <c r="C171" s="4">
        <v>6348.95</v>
      </c>
      <c r="D171" s="4">
        <v>6265.6</v>
      </c>
      <c r="E171" s="4">
        <v>6313.45</v>
      </c>
      <c r="F171" s="4">
        <v>6313</v>
      </c>
      <c r="H171" s="10">
        <f t="shared" si="2"/>
        <v>-7.1276401967199882E-5</v>
      </c>
    </row>
    <row r="172" spans="1:8">
      <c r="A172" s="2">
        <v>45502</v>
      </c>
      <c r="B172" s="4">
        <v>6370</v>
      </c>
      <c r="C172" s="4">
        <v>6412.4</v>
      </c>
      <c r="D172" s="4">
        <v>6266.1</v>
      </c>
      <c r="E172" s="4">
        <v>6343.7</v>
      </c>
      <c r="F172" s="4">
        <v>6313.45</v>
      </c>
      <c r="H172" s="10">
        <f t="shared" si="2"/>
        <v>-4.7685104907230795E-3</v>
      </c>
    </row>
    <row r="173" spans="1:8">
      <c r="A173" s="2">
        <v>45499</v>
      </c>
      <c r="B173" s="4">
        <v>6321.7</v>
      </c>
      <c r="C173" s="4">
        <v>6407.05</v>
      </c>
      <c r="D173" s="4">
        <v>6321.7</v>
      </c>
      <c r="E173" s="4">
        <v>6321.7</v>
      </c>
      <c r="F173" s="4">
        <v>6343.7</v>
      </c>
      <c r="H173" s="10">
        <f t="shared" si="2"/>
        <v>3.4800765616843574E-3</v>
      </c>
    </row>
    <row r="174" spans="1:8">
      <c r="A174" s="2">
        <v>45498</v>
      </c>
      <c r="B174" s="4">
        <v>6208</v>
      </c>
      <c r="C174" s="4">
        <v>6425</v>
      </c>
      <c r="D174" s="4">
        <v>6195.5</v>
      </c>
      <c r="E174" s="4">
        <v>6334.1</v>
      </c>
      <c r="F174" s="4">
        <v>6321.7</v>
      </c>
      <c r="H174" s="10">
        <f t="shared" si="2"/>
        <v>-1.9576577572189492E-3</v>
      </c>
    </row>
    <row r="175" spans="1:8">
      <c r="A175" s="2">
        <v>45497</v>
      </c>
      <c r="B175" s="4">
        <v>6149</v>
      </c>
      <c r="C175" s="4">
        <v>6421.35</v>
      </c>
      <c r="D175" s="4">
        <v>6131.1</v>
      </c>
      <c r="E175" s="4">
        <v>6179.35</v>
      </c>
      <c r="F175" s="4">
        <v>6334.1</v>
      </c>
      <c r="H175" s="10">
        <f t="shared" si="2"/>
        <v>2.504308705608195E-2</v>
      </c>
    </row>
    <row r="176" spans="1:8">
      <c r="A176" s="2">
        <v>45496</v>
      </c>
      <c r="B176" s="4">
        <v>6110.8</v>
      </c>
      <c r="C176" s="4">
        <v>6335</v>
      </c>
      <c r="D176" s="4">
        <v>6020.05</v>
      </c>
      <c r="E176" s="4">
        <v>6076.2</v>
      </c>
      <c r="F176" s="4">
        <v>6179.35</v>
      </c>
      <c r="H176" s="10">
        <f t="shared" si="2"/>
        <v>1.6976070570422393E-2</v>
      </c>
    </row>
    <row r="177" spans="1:8">
      <c r="A177" s="2">
        <v>45495</v>
      </c>
      <c r="B177" s="4">
        <v>5930.05</v>
      </c>
      <c r="C177" s="4">
        <v>6114.4</v>
      </c>
      <c r="D177" s="4">
        <v>5840.6</v>
      </c>
      <c r="E177" s="4">
        <v>5983.75</v>
      </c>
      <c r="F177" s="4">
        <v>6076.2</v>
      </c>
      <c r="H177" s="10">
        <f t="shared" si="2"/>
        <v>1.5450177564236443E-2</v>
      </c>
    </row>
    <row r="178" spans="1:8">
      <c r="A178" s="2">
        <v>45492</v>
      </c>
      <c r="B178" s="4">
        <v>6017</v>
      </c>
      <c r="C178" s="4">
        <v>6143.9</v>
      </c>
      <c r="D178" s="4">
        <v>5952.05</v>
      </c>
      <c r="E178" s="4">
        <v>5997.6</v>
      </c>
      <c r="F178" s="4">
        <v>5983.75</v>
      </c>
      <c r="H178" s="10">
        <f t="shared" si="2"/>
        <v>-2.3092570361478528E-3</v>
      </c>
    </row>
    <row r="179" spans="1:8">
      <c r="A179" s="2">
        <v>45491</v>
      </c>
      <c r="B179" s="4">
        <v>5900</v>
      </c>
      <c r="C179" s="4">
        <v>6043.65</v>
      </c>
      <c r="D179" s="4">
        <v>5805.1</v>
      </c>
      <c r="E179" s="4">
        <v>5896.9</v>
      </c>
      <c r="F179" s="4">
        <v>5997.6</v>
      </c>
      <c r="H179" s="10">
        <f t="shared" si="2"/>
        <v>1.7076769149892441E-2</v>
      </c>
    </row>
    <row r="180" spans="1:8">
      <c r="A180" s="2">
        <v>45489</v>
      </c>
      <c r="B180" s="4">
        <v>5949</v>
      </c>
      <c r="C180" s="4">
        <v>5965.3</v>
      </c>
      <c r="D180" s="4">
        <v>5811.5</v>
      </c>
      <c r="E180" s="4">
        <v>5916</v>
      </c>
      <c r="F180" s="4">
        <v>5896.9</v>
      </c>
      <c r="H180" s="10">
        <f t="shared" si="2"/>
        <v>-3.2285327924273773E-3</v>
      </c>
    </row>
    <row r="181" spans="1:8">
      <c r="A181" s="2">
        <v>45488</v>
      </c>
      <c r="B181" s="4">
        <v>6030</v>
      </c>
      <c r="C181" s="4">
        <v>6058.75</v>
      </c>
      <c r="D181" s="4">
        <v>5866.05</v>
      </c>
      <c r="E181" s="4">
        <v>5977.65</v>
      </c>
      <c r="F181" s="4">
        <v>5916</v>
      </c>
      <c r="H181" s="10">
        <f t="shared" si="2"/>
        <v>-1.0313417480113362E-2</v>
      </c>
    </row>
    <row r="182" spans="1:8">
      <c r="A182" s="2">
        <v>45485</v>
      </c>
      <c r="B182" s="4">
        <v>5652</v>
      </c>
      <c r="C182" s="4">
        <v>6040</v>
      </c>
      <c r="D182" s="4">
        <v>5632.05</v>
      </c>
      <c r="E182" s="4">
        <v>5563.5</v>
      </c>
      <c r="F182" s="4">
        <v>5977.65</v>
      </c>
      <c r="H182" s="10">
        <f t="shared" si="2"/>
        <v>7.4440550013480655E-2</v>
      </c>
    </row>
    <row r="183" spans="1:8">
      <c r="A183" s="2">
        <v>45484</v>
      </c>
      <c r="B183" s="4">
        <v>5700</v>
      </c>
      <c r="C183" s="4">
        <v>5700</v>
      </c>
      <c r="D183" s="4">
        <v>5551.05</v>
      </c>
      <c r="E183" s="4">
        <v>5669.1</v>
      </c>
      <c r="F183" s="4">
        <v>5563.5</v>
      </c>
      <c r="H183" s="10">
        <f t="shared" si="2"/>
        <v>-1.8627295337884382E-2</v>
      </c>
    </row>
    <row r="184" spans="1:8">
      <c r="A184" s="2">
        <v>45483</v>
      </c>
      <c r="B184" s="4">
        <v>5774.9</v>
      </c>
      <c r="C184" s="4">
        <v>5795</v>
      </c>
      <c r="D184" s="4">
        <v>5625.05</v>
      </c>
      <c r="E184" s="4">
        <v>5760.65</v>
      </c>
      <c r="F184" s="4">
        <v>5669.1</v>
      </c>
      <c r="H184" s="10">
        <f t="shared" si="2"/>
        <v>-1.5892303819881312E-2</v>
      </c>
    </row>
    <row r="185" spans="1:8">
      <c r="A185" s="2">
        <v>45482</v>
      </c>
      <c r="B185" s="4">
        <v>5900</v>
      </c>
      <c r="C185" s="4">
        <v>5900.05</v>
      </c>
      <c r="D185" s="4">
        <v>5725.1</v>
      </c>
      <c r="E185" s="4">
        <v>5855.45</v>
      </c>
      <c r="F185" s="4">
        <v>5760.65</v>
      </c>
      <c r="H185" s="10">
        <f t="shared" si="2"/>
        <v>-1.619004517159231E-2</v>
      </c>
    </row>
    <row r="186" spans="1:8">
      <c r="A186" s="2">
        <v>45481</v>
      </c>
      <c r="B186" s="4">
        <v>5917.95</v>
      </c>
      <c r="C186" s="4">
        <v>5975.35</v>
      </c>
      <c r="D186" s="4">
        <v>5752.65</v>
      </c>
      <c r="E186" s="4">
        <v>5870.15</v>
      </c>
      <c r="F186" s="4">
        <v>5855.45</v>
      </c>
      <c r="H186" s="10">
        <f t="shared" si="2"/>
        <v>-2.5041949524287829E-3</v>
      </c>
    </row>
    <row r="187" spans="1:8">
      <c r="A187" s="2">
        <v>45478</v>
      </c>
      <c r="B187" s="4">
        <v>5934</v>
      </c>
      <c r="C187" s="4">
        <v>5934</v>
      </c>
      <c r="D187" s="4">
        <v>5840.05</v>
      </c>
      <c r="E187" s="4">
        <v>5898.7</v>
      </c>
      <c r="F187" s="4">
        <v>5870.15</v>
      </c>
      <c r="H187" s="10">
        <f t="shared" si="2"/>
        <v>-4.8400495024327706E-3</v>
      </c>
    </row>
    <row r="188" spans="1:8">
      <c r="A188" s="2">
        <v>45477</v>
      </c>
      <c r="B188" s="4">
        <v>5700.45</v>
      </c>
      <c r="C188" s="4">
        <v>5906.45</v>
      </c>
      <c r="D188" s="4">
        <v>5690</v>
      </c>
      <c r="E188" s="4">
        <v>5680.9</v>
      </c>
      <c r="F188" s="4">
        <v>5898.7</v>
      </c>
      <c r="H188" s="10">
        <f t="shared" si="2"/>
        <v>3.8338995581686033E-2</v>
      </c>
    </row>
    <row r="189" spans="1:8">
      <c r="A189" s="2">
        <v>45476</v>
      </c>
      <c r="B189" s="4">
        <v>5700</v>
      </c>
      <c r="C189" s="4">
        <v>5714.95</v>
      </c>
      <c r="D189" s="4">
        <v>5621</v>
      </c>
      <c r="E189" s="4">
        <v>5653.75</v>
      </c>
      <c r="F189" s="4">
        <v>5680.9</v>
      </c>
      <c r="H189" s="10">
        <f t="shared" si="2"/>
        <v>4.8021224850762125E-3</v>
      </c>
    </row>
    <row r="190" spans="1:8">
      <c r="A190" s="2">
        <v>45475</v>
      </c>
      <c r="B190" s="4">
        <v>5554</v>
      </c>
      <c r="C190" s="4">
        <v>5754.9</v>
      </c>
      <c r="D190" s="4">
        <v>5522</v>
      </c>
      <c r="E190" s="4">
        <v>5518.4</v>
      </c>
      <c r="F190" s="4">
        <v>5653.75</v>
      </c>
      <c r="H190" s="10">
        <f t="shared" si="2"/>
        <v>2.4527036822267392E-2</v>
      </c>
    </row>
    <row r="191" spans="1:8">
      <c r="A191" s="2">
        <v>45474</v>
      </c>
      <c r="B191" s="4">
        <v>5455</v>
      </c>
      <c r="C191" s="4">
        <v>5594</v>
      </c>
      <c r="D191" s="4">
        <v>5425.75</v>
      </c>
      <c r="E191" s="4">
        <v>5458.8</v>
      </c>
      <c r="F191" s="4">
        <v>5518.4</v>
      </c>
      <c r="H191" s="10">
        <f t="shared" si="2"/>
        <v>1.0918150509269337E-2</v>
      </c>
    </row>
    <row r="192" spans="1:8">
      <c r="A192" s="2">
        <v>45471</v>
      </c>
      <c r="B192" s="4">
        <v>5425.05</v>
      </c>
      <c r="C192" s="4">
        <v>5548</v>
      </c>
      <c r="D192" s="4">
        <v>5391.3</v>
      </c>
      <c r="E192" s="4">
        <v>5439</v>
      </c>
      <c r="F192" s="4">
        <v>5458.8</v>
      </c>
      <c r="H192" s="10">
        <f t="shared" si="2"/>
        <v>3.6403750689465312E-3</v>
      </c>
    </row>
    <row r="193" spans="1:8">
      <c r="A193" s="2">
        <v>45470</v>
      </c>
      <c r="B193" s="4">
        <v>5376.6</v>
      </c>
      <c r="C193" s="4">
        <v>5454.95</v>
      </c>
      <c r="D193" s="4">
        <v>5300</v>
      </c>
      <c r="E193" s="4">
        <v>5325.35</v>
      </c>
      <c r="F193" s="4">
        <v>5439</v>
      </c>
      <c r="H193" s="10">
        <f t="shared" si="2"/>
        <v>2.1341320288807239E-2</v>
      </c>
    </row>
    <row r="194" spans="1:8">
      <c r="A194" s="2">
        <v>45469</v>
      </c>
      <c r="B194" s="4">
        <v>5395</v>
      </c>
      <c r="C194" s="4">
        <v>5462.85</v>
      </c>
      <c r="D194" s="4">
        <v>5305</v>
      </c>
      <c r="E194" s="4">
        <v>5350.65</v>
      </c>
      <c r="F194" s="4">
        <v>5325.35</v>
      </c>
      <c r="H194" s="10">
        <f t="shared" si="2"/>
        <v>-4.7283974844176454E-3</v>
      </c>
    </row>
    <row r="195" spans="1:8">
      <c r="A195" s="2">
        <v>45468</v>
      </c>
      <c r="B195" s="4">
        <v>5360</v>
      </c>
      <c r="C195" s="4">
        <v>5398.9</v>
      </c>
      <c r="D195" s="4">
        <v>5311.5</v>
      </c>
      <c r="E195" s="4">
        <v>5351.65</v>
      </c>
      <c r="F195" s="4">
        <v>5350.65</v>
      </c>
      <c r="H195" s="10">
        <f t="shared" si="2"/>
        <v>-1.8685825866788749E-4</v>
      </c>
    </row>
    <row r="196" spans="1:8">
      <c r="A196" s="2">
        <v>45467</v>
      </c>
      <c r="B196" s="4">
        <v>5380</v>
      </c>
      <c r="C196" s="4">
        <v>5434.4</v>
      </c>
      <c r="D196" s="4">
        <v>5333.5</v>
      </c>
      <c r="E196" s="4">
        <v>5383.4</v>
      </c>
      <c r="F196" s="4">
        <v>5351.65</v>
      </c>
      <c r="H196" s="10">
        <f t="shared" si="2"/>
        <v>-5.8977597800646438E-3</v>
      </c>
    </row>
    <row r="197" spans="1:8">
      <c r="A197" s="2">
        <v>45464</v>
      </c>
      <c r="B197" s="4">
        <v>5422.25</v>
      </c>
      <c r="C197" s="4">
        <v>5520</v>
      </c>
      <c r="D197" s="4">
        <v>5340</v>
      </c>
      <c r="E197" s="4">
        <v>5315.95</v>
      </c>
      <c r="F197" s="4">
        <v>5383.4</v>
      </c>
      <c r="H197" s="10">
        <f t="shared" ref="H197:H252" si="3">(F197-E197)/E197</f>
        <v>1.2688230701944116E-2</v>
      </c>
    </row>
    <row r="198" spans="1:8">
      <c r="A198" s="2">
        <v>45463</v>
      </c>
      <c r="B198" s="4">
        <v>5434.95</v>
      </c>
      <c r="C198" s="4">
        <v>5434.95</v>
      </c>
      <c r="D198" s="4">
        <v>5310</v>
      </c>
      <c r="E198" s="4">
        <v>5395.15</v>
      </c>
      <c r="F198" s="4">
        <v>5315.95</v>
      </c>
      <c r="H198" s="10">
        <f t="shared" si="3"/>
        <v>-1.4679851347969904E-2</v>
      </c>
    </row>
    <row r="199" spans="1:8">
      <c r="A199" s="2">
        <v>45462</v>
      </c>
      <c r="B199" s="4">
        <v>5281.15</v>
      </c>
      <c r="C199" s="4">
        <v>5452.5</v>
      </c>
      <c r="D199" s="4">
        <v>5219.3</v>
      </c>
      <c r="E199" s="4">
        <v>5273.1</v>
      </c>
      <c r="F199" s="4">
        <v>5395.15</v>
      </c>
      <c r="H199" s="10">
        <f t="shared" si="3"/>
        <v>2.3145777626064224E-2</v>
      </c>
    </row>
    <row r="200" spans="1:8">
      <c r="A200" s="2">
        <v>45461</v>
      </c>
      <c r="B200" s="4">
        <v>5211</v>
      </c>
      <c r="C200" s="4">
        <v>5300</v>
      </c>
      <c r="D200" s="4">
        <v>5162</v>
      </c>
      <c r="E200" s="4">
        <v>5201.75</v>
      </c>
      <c r="F200" s="4">
        <v>5273.1</v>
      </c>
      <c r="H200" s="10">
        <f t="shared" si="3"/>
        <v>1.3716537703657493E-2</v>
      </c>
    </row>
    <row r="201" spans="1:8">
      <c r="A201" s="2">
        <v>45457</v>
      </c>
      <c r="B201" s="4">
        <v>5300</v>
      </c>
      <c r="C201" s="4">
        <v>5300</v>
      </c>
      <c r="D201" s="4">
        <v>5178.7</v>
      </c>
      <c r="E201" s="4">
        <v>5273.25</v>
      </c>
      <c r="F201" s="4">
        <v>5201.75</v>
      </c>
      <c r="H201" s="10">
        <f t="shared" si="3"/>
        <v>-1.355900061631821E-2</v>
      </c>
    </row>
    <row r="202" spans="1:8">
      <c r="A202" s="2">
        <v>45456</v>
      </c>
      <c r="B202" s="4">
        <v>5239.8999999999996</v>
      </c>
      <c r="C202" s="4">
        <v>5318</v>
      </c>
      <c r="D202" s="4">
        <v>5200</v>
      </c>
      <c r="E202" s="4">
        <v>5179.2</v>
      </c>
      <c r="F202" s="4">
        <v>5273.25</v>
      </c>
      <c r="H202" s="10">
        <f t="shared" si="3"/>
        <v>1.8159175162187246E-2</v>
      </c>
    </row>
    <row r="203" spans="1:8">
      <c r="A203" s="2">
        <v>45455</v>
      </c>
      <c r="B203" s="4">
        <v>5230</v>
      </c>
      <c r="C203" s="4">
        <v>5265</v>
      </c>
      <c r="D203" s="4">
        <v>5168.6000000000004</v>
      </c>
      <c r="E203" s="4">
        <v>5175.8500000000004</v>
      </c>
      <c r="F203" s="4">
        <v>5179.2</v>
      </c>
      <c r="H203" s="10">
        <f t="shared" si="3"/>
        <v>6.4723668576165344E-4</v>
      </c>
    </row>
    <row r="204" spans="1:8">
      <c r="A204" s="2">
        <v>45454</v>
      </c>
      <c r="B204" s="4">
        <v>5255</v>
      </c>
      <c r="C204" s="4">
        <v>5255</v>
      </c>
      <c r="D204" s="4">
        <v>5168</v>
      </c>
      <c r="E204" s="4">
        <v>5220.1499999999996</v>
      </c>
      <c r="F204" s="4">
        <v>5175.8500000000004</v>
      </c>
      <c r="H204" s="10">
        <f t="shared" si="3"/>
        <v>-8.4863461777916864E-3</v>
      </c>
    </row>
    <row r="205" spans="1:8">
      <c r="A205" s="2">
        <v>45453</v>
      </c>
      <c r="B205" s="4">
        <v>5460</v>
      </c>
      <c r="C205" s="4">
        <v>5468</v>
      </c>
      <c r="D205" s="4">
        <v>5194.55</v>
      </c>
      <c r="E205" s="4">
        <v>5431.1</v>
      </c>
      <c r="F205" s="4">
        <v>5220.1499999999996</v>
      </c>
      <c r="H205" s="10">
        <f t="shared" si="3"/>
        <v>-3.8841118742059748E-2</v>
      </c>
    </row>
    <row r="206" spans="1:8">
      <c r="A206" s="2">
        <v>45450</v>
      </c>
      <c r="B206" s="4">
        <v>5329</v>
      </c>
      <c r="C206" s="4">
        <v>5463.55</v>
      </c>
      <c r="D206" s="4">
        <v>5326</v>
      </c>
      <c r="E206" s="4">
        <v>5212.6499999999996</v>
      </c>
      <c r="F206" s="4">
        <v>5431.1</v>
      </c>
      <c r="H206" s="10">
        <f t="shared" si="3"/>
        <v>4.1907666925652162E-2</v>
      </c>
    </row>
    <row r="207" spans="1:8">
      <c r="A207" s="2">
        <v>45449</v>
      </c>
      <c r="B207" s="4">
        <v>5220</v>
      </c>
      <c r="C207" s="4">
        <v>5272.2</v>
      </c>
      <c r="D207" s="4">
        <v>5174.05</v>
      </c>
      <c r="E207" s="4">
        <v>5129.1000000000004</v>
      </c>
      <c r="F207" s="4">
        <v>5212.6499999999996</v>
      </c>
      <c r="H207" s="10">
        <f t="shared" si="3"/>
        <v>1.6289407498391386E-2</v>
      </c>
    </row>
    <row r="208" spans="1:8">
      <c r="A208" s="2">
        <v>45448</v>
      </c>
      <c r="B208" s="4">
        <v>4947.8500000000004</v>
      </c>
      <c r="C208" s="4">
        <v>5173</v>
      </c>
      <c r="D208" s="4">
        <v>4937.3500000000004</v>
      </c>
      <c r="E208" s="4">
        <v>4966.95</v>
      </c>
      <c r="F208" s="4">
        <v>5129.1000000000004</v>
      </c>
      <c r="H208" s="10">
        <f t="shared" si="3"/>
        <v>3.2645788663062954E-2</v>
      </c>
    </row>
    <row r="209" spans="1:8">
      <c r="A209" s="2">
        <v>45447</v>
      </c>
      <c r="B209" s="4">
        <v>5070</v>
      </c>
      <c r="C209" s="4">
        <v>5099.3500000000004</v>
      </c>
      <c r="D209" s="4">
        <v>4722.95</v>
      </c>
      <c r="E209" s="4">
        <v>5016.6000000000004</v>
      </c>
      <c r="F209" s="4">
        <v>4966.95</v>
      </c>
      <c r="H209" s="10">
        <f t="shared" si="3"/>
        <v>-9.8971414902524705E-3</v>
      </c>
    </row>
    <row r="210" spans="1:8">
      <c r="A210" s="2">
        <v>45446</v>
      </c>
      <c r="B210" s="4">
        <v>5104.6499999999996</v>
      </c>
      <c r="C210" s="4">
        <v>5118</v>
      </c>
      <c r="D210" s="4">
        <v>4947.8500000000004</v>
      </c>
      <c r="E210" s="4">
        <v>4971</v>
      </c>
      <c r="F210" s="4">
        <v>5016.6000000000004</v>
      </c>
      <c r="H210" s="10">
        <f t="shared" si="3"/>
        <v>9.1732045866023664E-3</v>
      </c>
    </row>
    <row r="211" spans="1:8">
      <c r="A211" s="2">
        <v>45443</v>
      </c>
      <c r="B211" s="4">
        <v>4997.05</v>
      </c>
      <c r="C211" s="4">
        <v>5018.8999999999996</v>
      </c>
      <c r="D211" s="4">
        <v>4940</v>
      </c>
      <c r="E211" s="4">
        <v>4997.05</v>
      </c>
      <c r="F211" s="4">
        <v>4971</v>
      </c>
      <c r="H211" s="10">
        <f t="shared" si="3"/>
        <v>-5.2130757146716927E-3</v>
      </c>
    </row>
    <row r="212" spans="1:8">
      <c r="A212" s="2">
        <v>45442</v>
      </c>
      <c r="B212" s="4">
        <v>5134.5</v>
      </c>
      <c r="C212" s="4">
        <v>5141.05</v>
      </c>
      <c r="D212" s="4">
        <v>4975</v>
      </c>
      <c r="E212" s="4">
        <v>5141.55</v>
      </c>
      <c r="F212" s="4">
        <v>4997.05</v>
      </c>
      <c r="H212" s="10">
        <f t="shared" si="3"/>
        <v>-2.8104365415098559E-2</v>
      </c>
    </row>
    <row r="213" spans="1:8">
      <c r="A213" s="2">
        <v>45441</v>
      </c>
      <c r="B213" s="4">
        <v>5143.95</v>
      </c>
      <c r="C213" s="4">
        <v>5198</v>
      </c>
      <c r="D213" s="4">
        <v>5110.7</v>
      </c>
      <c r="E213" s="4">
        <v>5146.25</v>
      </c>
      <c r="F213" s="4">
        <v>5141.55</v>
      </c>
      <c r="H213" s="10">
        <f t="shared" si="3"/>
        <v>-9.1328637357295471E-4</v>
      </c>
    </row>
    <row r="214" spans="1:8">
      <c r="A214" s="2">
        <v>45440</v>
      </c>
      <c r="B214" s="4">
        <v>5298</v>
      </c>
      <c r="C214" s="4">
        <v>5311</v>
      </c>
      <c r="D214" s="4">
        <v>5135.1000000000004</v>
      </c>
      <c r="E214" s="4">
        <v>5263.6</v>
      </c>
      <c r="F214" s="4">
        <v>5146.25</v>
      </c>
      <c r="H214" s="10">
        <f t="shared" si="3"/>
        <v>-2.2294627251310959E-2</v>
      </c>
    </row>
    <row r="215" spans="1:8">
      <c r="A215" s="2">
        <v>45439</v>
      </c>
      <c r="B215" s="4">
        <v>5145</v>
      </c>
      <c r="C215" s="4">
        <v>5313</v>
      </c>
      <c r="D215" s="4">
        <v>5119.05</v>
      </c>
      <c r="E215" s="4">
        <v>5105.45</v>
      </c>
      <c r="F215" s="4">
        <v>5263.6</v>
      </c>
      <c r="H215" s="10">
        <f t="shared" si="3"/>
        <v>3.0976701368145912E-2</v>
      </c>
    </row>
    <row r="216" spans="1:8">
      <c r="A216" s="2">
        <v>45436</v>
      </c>
      <c r="B216" s="4">
        <v>5100</v>
      </c>
      <c r="C216" s="4">
        <v>5130</v>
      </c>
      <c r="D216" s="4">
        <v>5081.55</v>
      </c>
      <c r="E216" s="4">
        <v>5067.05</v>
      </c>
      <c r="F216" s="4">
        <v>5105.45</v>
      </c>
      <c r="H216" s="10">
        <f t="shared" si="3"/>
        <v>7.5783740045982642E-3</v>
      </c>
    </row>
    <row r="217" spans="1:8">
      <c r="A217" s="2">
        <v>45435</v>
      </c>
      <c r="B217" s="4">
        <v>4948</v>
      </c>
      <c r="C217" s="4">
        <v>5162.7</v>
      </c>
      <c r="D217" s="4">
        <v>4930.8500000000004</v>
      </c>
      <c r="E217" s="4">
        <v>4910.3500000000004</v>
      </c>
      <c r="F217" s="4">
        <v>5067.05</v>
      </c>
      <c r="H217" s="10">
        <f t="shared" si="3"/>
        <v>3.191218548575963E-2</v>
      </c>
    </row>
    <row r="218" spans="1:8">
      <c r="A218" s="2">
        <v>45434</v>
      </c>
      <c r="B218" s="4">
        <v>4850</v>
      </c>
      <c r="C218" s="4">
        <v>5018.95</v>
      </c>
      <c r="D218" s="4">
        <v>4827.05</v>
      </c>
      <c r="E218" s="4">
        <v>4790.1499999999996</v>
      </c>
      <c r="F218" s="4">
        <v>4910.3500000000004</v>
      </c>
      <c r="H218" s="10">
        <f t="shared" si="3"/>
        <v>2.5093159921923267E-2</v>
      </c>
    </row>
    <row r="219" spans="1:8">
      <c r="A219" s="2">
        <v>45433</v>
      </c>
      <c r="B219" s="4">
        <v>4735</v>
      </c>
      <c r="C219" s="4">
        <v>4800</v>
      </c>
      <c r="D219" s="4">
        <v>4728</v>
      </c>
      <c r="E219" s="4">
        <v>4729.6000000000004</v>
      </c>
      <c r="F219" s="4">
        <v>4790.1499999999996</v>
      </c>
      <c r="H219" s="10">
        <f t="shared" si="3"/>
        <v>1.2802351150202822E-2</v>
      </c>
    </row>
    <row r="220" spans="1:8">
      <c r="A220" s="2">
        <v>45430</v>
      </c>
      <c r="B220" s="4">
        <v>4748</v>
      </c>
      <c r="C220" s="4">
        <v>4765.5</v>
      </c>
      <c r="D220" s="4">
        <v>4703</v>
      </c>
      <c r="E220" s="4">
        <v>4712.6000000000004</v>
      </c>
      <c r="F220" s="4">
        <v>4729.6000000000004</v>
      </c>
      <c r="H220" s="10">
        <f t="shared" si="3"/>
        <v>3.6073505071510417E-3</v>
      </c>
    </row>
    <row r="221" spans="1:8">
      <c r="A221" s="2">
        <v>45429</v>
      </c>
      <c r="B221" s="4">
        <v>4690</v>
      </c>
      <c r="C221" s="4">
        <v>4747</v>
      </c>
      <c r="D221" s="4">
        <v>4660.55</v>
      </c>
      <c r="E221" s="4">
        <v>4680.95</v>
      </c>
      <c r="F221" s="4">
        <v>4712.6000000000004</v>
      </c>
      <c r="H221" s="10">
        <f t="shared" si="3"/>
        <v>6.7614479966674598E-3</v>
      </c>
    </row>
    <row r="222" spans="1:8">
      <c r="A222" s="2">
        <v>45428</v>
      </c>
      <c r="B222" s="4">
        <v>4663</v>
      </c>
      <c r="C222" s="4">
        <v>4708.5</v>
      </c>
      <c r="D222" s="4">
        <v>4589.3500000000004</v>
      </c>
      <c r="E222" s="4">
        <v>4614.95</v>
      </c>
      <c r="F222" s="4">
        <v>4680.95</v>
      </c>
      <c r="H222" s="10">
        <f t="shared" si="3"/>
        <v>1.430134671014854E-2</v>
      </c>
    </row>
    <row r="223" spans="1:8">
      <c r="A223" s="2">
        <v>45427</v>
      </c>
      <c r="B223" s="4">
        <v>4560.3999999999996</v>
      </c>
      <c r="C223" s="4">
        <v>4625</v>
      </c>
      <c r="D223" s="4">
        <v>4541</v>
      </c>
      <c r="E223" s="4">
        <v>4559.3500000000004</v>
      </c>
      <c r="F223" s="4">
        <v>4614.95</v>
      </c>
      <c r="H223" s="10">
        <f t="shared" si="3"/>
        <v>1.2194720738701668E-2</v>
      </c>
    </row>
    <row r="224" spans="1:8">
      <c r="A224" s="2">
        <v>45426</v>
      </c>
      <c r="B224" s="4">
        <v>4538</v>
      </c>
      <c r="C224" s="4">
        <v>4587</v>
      </c>
      <c r="D224" s="4">
        <v>4500</v>
      </c>
      <c r="E224" s="4">
        <v>4534.8500000000004</v>
      </c>
      <c r="F224" s="4">
        <v>4559.3500000000004</v>
      </c>
      <c r="H224" s="10">
        <f t="shared" si="3"/>
        <v>5.4026042757753835E-3</v>
      </c>
    </row>
    <row r="225" spans="1:8">
      <c r="A225" s="2">
        <v>45425</v>
      </c>
      <c r="B225" s="4">
        <v>4476</v>
      </c>
      <c r="C225" s="4">
        <v>4553</v>
      </c>
      <c r="D225" s="4">
        <v>4402.3</v>
      </c>
      <c r="E225" s="4">
        <v>4465.3</v>
      </c>
      <c r="F225" s="4">
        <v>4534.8500000000004</v>
      </c>
      <c r="H225" s="10">
        <f t="shared" si="3"/>
        <v>1.5575661209773179E-2</v>
      </c>
    </row>
    <row r="226" spans="1:8">
      <c r="A226" s="2">
        <v>45422</v>
      </c>
      <c r="B226" s="4">
        <v>4330</v>
      </c>
      <c r="C226" s="4">
        <v>4471</v>
      </c>
      <c r="D226" s="4">
        <v>4302.1499999999996</v>
      </c>
      <c r="E226" s="4">
        <v>4301.8</v>
      </c>
      <c r="F226" s="4">
        <v>4465.3</v>
      </c>
      <c r="H226" s="10">
        <f t="shared" si="3"/>
        <v>3.8007345762239061E-2</v>
      </c>
    </row>
    <row r="227" spans="1:8">
      <c r="A227" s="2">
        <v>45421</v>
      </c>
      <c r="B227" s="4">
        <v>4411</v>
      </c>
      <c r="C227" s="4">
        <v>4423.8500000000004</v>
      </c>
      <c r="D227" s="4">
        <v>4287.25</v>
      </c>
      <c r="E227" s="4">
        <v>4409.55</v>
      </c>
      <c r="F227" s="4">
        <v>4301.8</v>
      </c>
      <c r="H227" s="10">
        <f t="shared" si="3"/>
        <v>-2.443560000453561E-2</v>
      </c>
    </row>
    <row r="228" spans="1:8">
      <c r="A228" s="2">
        <v>45420</v>
      </c>
      <c r="B228" s="4">
        <v>4445</v>
      </c>
      <c r="C228" s="4">
        <v>4473.7</v>
      </c>
      <c r="D228" s="4">
        <v>4392.6499999999996</v>
      </c>
      <c r="E228" s="4">
        <v>4419.1499999999996</v>
      </c>
      <c r="F228" s="4">
        <v>4409.55</v>
      </c>
      <c r="H228" s="10">
        <f t="shared" si="3"/>
        <v>-2.1723634635618739E-3</v>
      </c>
    </row>
    <row r="229" spans="1:8">
      <c r="A229" s="2">
        <v>45419</v>
      </c>
      <c r="B229" s="4">
        <v>4440</v>
      </c>
      <c r="C229" s="4">
        <v>4482</v>
      </c>
      <c r="D229" s="4">
        <v>4341.05</v>
      </c>
      <c r="E229" s="4">
        <v>4413.05</v>
      </c>
      <c r="F229" s="4">
        <v>4419.1499999999996</v>
      </c>
      <c r="H229" s="10">
        <f t="shared" si="3"/>
        <v>1.3822639670974619E-3</v>
      </c>
    </row>
    <row r="230" spans="1:8">
      <c r="A230" s="2">
        <v>45418</v>
      </c>
      <c r="B230" s="4">
        <v>4540</v>
      </c>
      <c r="C230" s="4">
        <v>4544</v>
      </c>
      <c r="D230" s="4">
        <v>4407.6499999999996</v>
      </c>
      <c r="E230" s="4">
        <v>4482.55</v>
      </c>
      <c r="F230" s="4">
        <v>4413.05</v>
      </c>
      <c r="H230" s="10">
        <f t="shared" si="3"/>
        <v>-1.5504567712574316E-2</v>
      </c>
    </row>
    <row r="231" spans="1:8">
      <c r="A231" s="2">
        <v>45415</v>
      </c>
      <c r="B231" s="4">
        <v>4487.1499999999996</v>
      </c>
      <c r="C231" s="4">
        <v>4720.8999999999996</v>
      </c>
      <c r="D231" s="4">
        <v>4460.05</v>
      </c>
      <c r="E231" s="4">
        <v>4985.7</v>
      </c>
      <c r="F231" s="4">
        <v>4482.55</v>
      </c>
      <c r="H231" s="10">
        <f t="shared" si="3"/>
        <v>-0.10091862727400358</v>
      </c>
    </row>
    <row r="232" spans="1:8">
      <c r="A232" s="2">
        <v>45414</v>
      </c>
      <c r="B232" s="4">
        <v>5119.8999999999996</v>
      </c>
      <c r="C232" s="4">
        <v>5120.95</v>
      </c>
      <c r="D232" s="4">
        <v>4968</v>
      </c>
      <c r="E232" s="4">
        <v>5103.25</v>
      </c>
      <c r="F232" s="4">
        <v>4985.7</v>
      </c>
      <c r="H232" s="10">
        <f t="shared" si="3"/>
        <v>-2.3034340861215929E-2</v>
      </c>
    </row>
    <row r="233" spans="1:8">
      <c r="A233" s="2">
        <v>45412</v>
      </c>
      <c r="B233" s="4">
        <v>5191.95</v>
      </c>
      <c r="C233" s="4">
        <v>5233.1000000000004</v>
      </c>
      <c r="D233" s="4">
        <v>5095.05</v>
      </c>
      <c r="E233" s="4">
        <v>5184.2</v>
      </c>
      <c r="F233" s="4">
        <v>5103.25</v>
      </c>
      <c r="H233" s="10">
        <f t="shared" si="3"/>
        <v>-1.561475251726396E-2</v>
      </c>
    </row>
    <row r="234" spans="1:8">
      <c r="A234" s="2">
        <v>45411</v>
      </c>
      <c r="B234" s="4">
        <v>5290</v>
      </c>
      <c r="C234" s="4">
        <v>5304.9</v>
      </c>
      <c r="D234" s="4">
        <v>5167.3999999999996</v>
      </c>
      <c r="E234" s="4">
        <v>5251</v>
      </c>
      <c r="F234" s="4">
        <v>5184.2</v>
      </c>
      <c r="H234" s="10">
        <f t="shared" si="3"/>
        <v>-1.2721386402590018E-2</v>
      </c>
    </row>
    <row r="235" spans="1:8">
      <c r="A235" s="2">
        <v>45408</v>
      </c>
      <c r="B235" s="4">
        <v>5211.8999999999996</v>
      </c>
      <c r="C235" s="4">
        <v>5375</v>
      </c>
      <c r="D235" s="4">
        <v>5170</v>
      </c>
      <c r="E235" s="4">
        <v>5210.5</v>
      </c>
      <c r="F235" s="4">
        <v>5251</v>
      </c>
      <c r="H235" s="10">
        <f t="shared" si="3"/>
        <v>7.7727665291238849E-3</v>
      </c>
    </row>
    <row r="236" spans="1:8">
      <c r="A236" s="2">
        <v>45407</v>
      </c>
      <c r="B236" s="4">
        <v>5155.5</v>
      </c>
      <c r="C236" s="4">
        <v>5220</v>
      </c>
      <c r="D236" s="4">
        <v>5120.3</v>
      </c>
      <c r="E236" s="4">
        <v>5192.6499999999996</v>
      </c>
      <c r="F236" s="4">
        <v>5210.5</v>
      </c>
      <c r="H236" s="10">
        <f t="shared" si="3"/>
        <v>3.4375511540351007E-3</v>
      </c>
    </row>
    <row r="237" spans="1:8">
      <c r="A237" s="2">
        <v>45406</v>
      </c>
      <c r="B237" s="4">
        <v>5230</v>
      </c>
      <c r="C237" s="4">
        <v>5266.8</v>
      </c>
      <c r="D237" s="4">
        <v>5185.05</v>
      </c>
      <c r="E237" s="4">
        <v>5217.1499999999996</v>
      </c>
      <c r="F237" s="4">
        <v>5192.6499999999996</v>
      </c>
      <c r="H237" s="10">
        <f t="shared" si="3"/>
        <v>-4.6960505256701457E-3</v>
      </c>
    </row>
    <row r="238" spans="1:8">
      <c r="A238" s="2">
        <v>45405</v>
      </c>
      <c r="B238" s="4">
        <v>5155</v>
      </c>
      <c r="C238" s="4">
        <v>5244</v>
      </c>
      <c r="D238" s="4">
        <v>5110.25</v>
      </c>
      <c r="E238" s="4">
        <v>5100.05</v>
      </c>
      <c r="F238" s="4">
        <v>5217.1499999999996</v>
      </c>
      <c r="H238" s="10">
        <f t="shared" si="3"/>
        <v>2.2960559210203714E-2</v>
      </c>
    </row>
    <row r="239" spans="1:8">
      <c r="A239" s="2">
        <v>45404</v>
      </c>
      <c r="B239" s="4">
        <v>5129</v>
      </c>
      <c r="C239" s="4">
        <v>5184.8999999999996</v>
      </c>
      <c r="D239" s="4">
        <v>5080</v>
      </c>
      <c r="E239" s="4">
        <v>5118.1499999999996</v>
      </c>
      <c r="F239" s="4">
        <v>5100.05</v>
      </c>
      <c r="H239" s="10">
        <f t="shared" si="3"/>
        <v>-3.5364340630890958E-3</v>
      </c>
    </row>
    <row r="240" spans="1:8">
      <c r="A240" s="2">
        <v>45401</v>
      </c>
      <c r="B240" s="4">
        <v>5175</v>
      </c>
      <c r="C240" s="4">
        <v>5177.2</v>
      </c>
      <c r="D240" s="4">
        <v>5091.05</v>
      </c>
      <c r="E240" s="4">
        <v>5206.8999999999996</v>
      </c>
      <c r="F240" s="4">
        <v>5118.1499999999996</v>
      </c>
      <c r="H240" s="10">
        <f t="shared" si="3"/>
        <v>-1.7044690698880333E-2</v>
      </c>
    </row>
    <row r="241" spans="1:8">
      <c r="A241" s="2">
        <v>45400</v>
      </c>
      <c r="B241" s="4">
        <v>5228</v>
      </c>
      <c r="C241" s="4">
        <v>5311</v>
      </c>
      <c r="D241" s="4">
        <v>5175</v>
      </c>
      <c r="E241" s="4">
        <v>5209.8999999999996</v>
      </c>
      <c r="F241" s="4">
        <v>5206.8999999999996</v>
      </c>
      <c r="H241" s="10">
        <f t="shared" si="3"/>
        <v>-5.758267913011767E-4</v>
      </c>
    </row>
    <row r="242" spans="1:8">
      <c r="A242" s="2">
        <v>45398</v>
      </c>
      <c r="B242" s="4">
        <v>5352.95</v>
      </c>
      <c r="C242" s="4">
        <v>5354</v>
      </c>
      <c r="D242" s="4">
        <v>5200</v>
      </c>
      <c r="E242" s="4">
        <v>5396.2</v>
      </c>
      <c r="F242" s="4">
        <v>5209.8999999999996</v>
      </c>
      <c r="H242" s="10">
        <f t="shared" si="3"/>
        <v>-3.4524294874170747E-2</v>
      </c>
    </row>
    <row r="243" spans="1:8">
      <c r="A243" s="2">
        <v>45397</v>
      </c>
      <c r="B243" s="4">
        <v>5515</v>
      </c>
      <c r="C243" s="4">
        <v>5585.25</v>
      </c>
      <c r="D243" s="4">
        <v>5373.9</v>
      </c>
      <c r="E243" s="4">
        <v>5616.25</v>
      </c>
      <c r="F243" s="4">
        <v>5396.2</v>
      </c>
      <c r="H243" s="10">
        <f t="shared" si="3"/>
        <v>-3.9180948141553561E-2</v>
      </c>
    </row>
    <row r="244" spans="1:8">
      <c r="A244" s="2">
        <v>45394</v>
      </c>
      <c r="B244" s="4">
        <v>5685</v>
      </c>
      <c r="C244" s="4">
        <v>5719.5</v>
      </c>
      <c r="D244" s="4">
        <v>5600</v>
      </c>
      <c r="E244" s="4">
        <v>5702.45</v>
      </c>
      <c r="F244" s="4">
        <v>5616.25</v>
      </c>
      <c r="H244" s="10">
        <f t="shared" si="3"/>
        <v>-1.5116309656375736E-2</v>
      </c>
    </row>
    <row r="245" spans="1:8">
      <c r="A245" s="2">
        <v>45392</v>
      </c>
      <c r="B245" s="4">
        <v>5721</v>
      </c>
      <c r="C245" s="4">
        <v>5734.65</v>
      </c>
      <c r="D245" s="4">
        <v>5667.55</v>
      </c>
      <c r="E245" s="4">
        <v>5711.65</v>
      </c>
      <c r="F245" s="4">
        <v>5702.45</v>
      </c>
      <c r="H245" s="10">
        <f t="shared" si="3"/>
        <v>-1.6107429551880487E-3</v>
      </c>
    </row>
    <row r="246" spans="1:8">
      <c r="A246" s="2">
        <v>45391</v>
      </c>
      <c r="B246" s="4">
        <v>5721</v>
      </c>
      <c r="C246" s="4">
        <v>5776.45</v>
      </c>
      <c r="D246" s="4">
        <v>5686.4</v>
      </c>
      <c r="E246" s="4">
        <v>5682.2</v>
      </c>
      <c r="F246" s="4">
        <v>5711.65</v>
      </c>
      <c r="H246" s="10">
        <f t="shared" si="3"/>
        <v>5.1828517123648976E-3</v>
      </c>
    </row>
    <row r="247" spans="1:8">
      <c r="A247" s="2">
        <v>45390</v>
      </c>
      <c r="B247" s="4">
        <v>5825</v>
      </c>
      <c r="C247" s="4">
        <v>5825</v>
      </c>
      <c r="D247" s="4">
        <v>5602.4</v>
      </c>
      <c r="E247" s="4">
        <v>5782.9</v>
      </c>
      <c r="F247" s="4">
        <v>5682.2</v>
      </c>
      <c r="H247" s="10">
        <f t="shared" si="3"/>
        <v>-1.7413408497466639E-2</v>
      </c>
    </row>
    <row r="248" spans="1:8">
      <c r="A248" s="2">
        <v>45387</v>
      </c>
      <c r="B248" s="4">
        <v>5840.4</v>
      </c>
      <c r="C248" s="4">
        <v>5841.85</v>
      </c>
      <c r="D248" s="4">
        <v>5744.25</v>
      </c>
      <c r="E248" s="4">
        <v>5819.45</v>
      </c>
      <c r="F248" s="4">
        <v>5782.9</v>
      </c>
      <c r="H248" s="10">
        <f t="shared" si="3"/>
        <v>-6.2806622618976331E-3</v>
      </c>
    </row>
    <row r="249" spans="1:8">
      <c r="A249" s="2">
        <v>45386</v>
      </c>
      <c r="B249" s="4">
        <v>5840</v>
      </c>
      <c r="C249" s="4">
        <v>5898.85</v>
      </c>
      <c r="D249" s="4">
        <v>5750.75</v>
      </c>
      <c r="E249" s="4">
        <v>5662.6</v>
      </c>
      <c r="F249" s="4">
        <v>5819.45</v>
      </c>
      <c r="H249" s="10">
        <f t="shared" si="3"/>
        <v>2.7699290078762307E-2</v>
      </c>
    </row>
    <row r="250" spans="1:8">
      <c r="A250" s="2">
        <v>45385</v>
      </c>
      <c r="B250" s="4">
        <v>5550</v>
      </c>
      <c r="C250" s="4">
        <v>5704.5</v>
      </c>
      <c r="D250" s="4">
        <v>5515.25</v>
      </c>
      <c r="E250" s="4">
        <v>5556.25</v>
      </c>
      <c r="F250" s="4">
        <v>5662.6</v>
      </c>
      <c r="H250" s="10">
        <f t="shared" si="3"/>
        <v>1.9140607424072056E-2</v>
      </c>
    </row>
    <row r="251" spans="1:8">
      <c r="A251" s="2">
        <v>45384</v>
      </c>
      <c r="B251" s="4">
        <v>5517</v>
      </c>
      <c r="C251" s="4">
        <v>5572.45</v>
      </c>
      <c r="D251" s="4">
        <v>5493.25</v>
      </c>
      <c r="E251" s="4">
        <v>5484.05</v>
      </c>
      <c r="F251" s="4">
        <v>5556.25</v>
      </c>
      <c r="H251" s="10">
        <f t="shared" si="3"/>
        <v>1.3165452539637643E-2</v>
      </c>
    </row>
    <row r="252" spans="1:8">
      <c r="A252" s="2">
        <v>45383</v>
      </c>
      <c r="B252" s="4">
        <v>5549.1</v>
      </c>
      <c r="C252" s="4">
        <v>5575.8</v>
      </c>
      <c r="D252" s="4">
        <v>5463</v>
      </c>
      <c r="E252" s="4">
        <v>5502.45</v>
      </c>
      <c r="F252" s="4">
        <v>5484.05</v>
      </c>
      <c r="H252" s="10">
        <f t="shared" si="3"/>
        <v>-3.3439649610627334E-3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F901-796C-40F3-9CD2-3A650A70A0B2}">
  <dimension ref="A1:L252"/>
  <sheetViews>
    <sheetView workbookViewId="0">
      <selection activeCell="H1" sqref="H1"/>
    </sheetView>
  </sheetViews>
  <sheetFormatPr defaultRowHeight="14.4"/>
  <cols>
    <col min="1" max="1" width="11.5546875" customWidth="1"/>
    <col min="2" max="2" width="11.109375" customWidth="1"/>
    <col min="8" max="8" width="11.88671875" customWidth="1"/>
    <col min="11" max="11" width="18.44140625" bestFit="1" customWidth="1"/>
    <col min="12" max="12" width="14.33203125" customWidth="1"/>
  </cols>
  <sheetData>
    <row r="1" spans="1:12">
      <c r="A1" t="s">
        <v>22</v>
      </c>
      <c r="B1" t="s">
        <v>23</v>
      </c>
    </row>
    <row r="3" spans="1:1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6</v>
      </c>
      <c r="H3" s="11" t="s">
        <v>7</v>
      </c>
    </row>
    <row r="4" spans="1:12">
      <c r="A4" s="2">
        <v>45744</v>
      </c>
      <c r="B4" s="3">
        <v>993.4</v>
      </c>
      <c r="C4" s="4">
        <v>1000</v>
      </c>
      <c r="D4" s="3">
        <v>962.5</v>
      </c>
      <c r="E4" s="3">
        <v>993.4</v>
      </c>
      <c r="F4" s="3">
        <v>976.65</v>
      </c>
      <c r="H4" s="10">
        <f>(F4-E4)/E4</f>
        <v>-1.6861284477551843E-2</v>
      </c>
    </row>
    <row r="5" spans="1:12">
      <c r="A5" s="2">
        <v>45743</v>
      </c>
      <c r="B5" s="3">
        <v>973</v>
      </c>
      <c r="C5" s="3">
        <v>996</v>
      </c>
      <c r="D5" s="3">
        <v>966.6</v>
      </c>
      <c r="E5" s="3">
        <v>976</v>
      </c>
      <c r="F5" s="3">
        <v>993.4</v>
      </c>
      <c r="H5" s="10">
        <f t="shared" ref="H5:H68" si="0">(F5-E5)/E5</f>
        <v>1.7827868852458992E-2</v>
      </c>
    </row>
    <row r="6" spans="1:12">
      <c r="A6" s="2">
        <v>45742</v>
      </c>
      <c r="B6" s="3">
        <v>984</v>
      </c>
      <c r="C6" s="4">
        <v>1004</v>
      </c>
      <c r="D6" s="3">
        <v>971.65</v>
      </c>
      <c r="E6" s="3">
        <v>979.35</v>
      </c>
      <c r="F6" s="3">
        <v>976</v>
      </c>
      <c r="H6" s="10">
        <f t="shared" si="0"/>
        <v>-3.4206361362128174E-3</v>
      </c>
      <c r="K6" t="s">
        <v>8</v>
      </c>
      <c r="L6">
        <f>AVERAGE(H4:H252)</f>
        <v>5.2329396808538874E-4</v>
      </c>
    </row>
    <row r="7" spans="1:12">
      <c r="A7" s="2">
        <v>45741</v>
      </c>
      <c r="B7" s="4">
        <v>1024.8499999999999</v>
      </c>
      <c r="C7" s="4">
        <v>1057.8499999999999</v>
      </c>
      <c r="D7" s="3">
        <v>972</v>
      </c>
      <c r="E7" s="3">
        <v>993.6</v>
      </c>
      <c r="F7" s="3">
        <v>979.35</v>
      </c>
      <c r="H7" s="10">
        <f t="shared" si="0"/>
        <v>-1.4341787439613526E-2</v>
      </c>
      <c r="K7" t="s">
        <v>9</v>
      </c>
      <c r="L7">
        <f>_xlfn.VAR.S(H4:H252)</f>
        <v>7.0418699392260327E-4</v>
      </c>
    </row>
    <row r="8" spans="1:12">
      <c r="A8" s="2">
        <v>45740</v>
      </c>
      <c r="B8" s="3">
        <v>975</v>
      </c>
      <c r="C8" s="4">
        <v>1030</v>
      </c>
      <c r="D8" s="3">
        <v>975</v>
      </c>
      <c r="E8" s="3">
        <v>963.85</v>
      </c>
      <c r="F8" s="3">
        <v>993.6</v>
      </c>
      <c r="H8" s="10">
        <f t="shared" si="0"/>
        <v>3.0865798620117239E-2</v>
      </c>
      <c r="K8" t="s">
        <v>10</v>
      </c>
      <c r="L8">
        <f>_xlfn.STDEV.S(H4:H252)</f>
        <v>2.6536521888194074E-2</v>
      </c>
    </row>
    <row r="9" spans="1:12">
      <c r="A9" s="2">
        <v>45737</v>
      </c>
      <c r="B9" s="3">
        <v>959</v>
      </c>
      <c r="C9" s="3">
        <v>986.6</v>
      </c>
      <c r="D9" s="3">
        <v>943</v>
      </c>
      <c r="E9" s="3">
        <v>957.25</v>
      </c>
      <c r="F9" s="3">
        <v>963.85</v>
      </c>
      <c r="H9" s="10">
        <f t="shared" si="0"/>
        <v>6.8947505876208121E-3</v>
      </c>
    </row>
    <row r="10" spans="1:12">
      <c r="A10" s="2">
        <v>45736</v>
      </c>
      <c r="B10" s="3">
        <v>959.95</v>
      </c>
      <c r="C10" s="3">
        <v>965</v>
      </c>
      <c r="D10" s="3">
        <v>947.5</v>
      </c>
      <c r="E10" s="3">
        <v>948.4</v>
      </c>
      <c r="F10" s="3">
        <v>957.25</v>
      </c>
      <c r="H10" s="10">
        <f t="shared" si="0"/>
        <v>9.331505693800108E-3</v>
      </c>
    </row>
    <row r="11" spans="1:12">
      <c r="A11" s="2">
        <v>45735</v>
      </c>
      <c r="B11" s="3">
        <v>949.95</v>
      </c>
      <c r="C11" s="3">
        <v>955</v>
      </c>
      <c r="D11" s="3">
        <v>936.55</v>
      </c>
      <c r="E11" s="3">
        <v>937.4</v>
      </c>
      <c r="F11" s="3">
        <v>948.4</v>
      </c>
      <c r="H11" s="10">
        <f t="shared" si="0"/>
        <v>1.1734585022402389E-2</v>
      </c>
    </row>
    <row r="12" spans="1:12">
      <c r="A12" s="2">
        <v>45734</v>
      </c>
      <c r="B12" s="3">
        <v>939.55</v>
      </c>
      <c r="C12" s="3">
        <v>953.35</v>
      </c>
      <c r="D12" s="3">
        <v>921.5</v>
      </c>
      <c r="E12" s="3">
        <v>936.65</v>
      </c>
      <c r="F12" s="3">
        <v>937.4</v>
      </c>
      <c r="H12" s="10">
        <f t="shared" si="0"/>
        <v>8.0072599156568629E-4</v>
      </c>
    </row>
    <row r="13" spans="1:12">
      <c r="A13" s="2">
        <v>45733</v>
      </c>
      <c r="B13" s="3">
        <v>961.2</v>
      </c>
      <c r="C13" s="3">
        <v>961.2</v>
      </c>
      <c r="D13" s="3">
        <v>931</v>
      </c>
      <c r="E13" s="3">
        <v>950.45</v>
      </c>
      <c r="F13" s="3">
        <v>936.65</v>
      </c>
      <c r="H13" s="10">
        <f t="shared" si="0"/>
        <v>-1.4519438160871237E-2</v>
      </c>
    </row>
    <row r="14" spans="1:12">
      <c r="A14" s="2">
        <v>45729</v>
      </c>
      <c r="B14" s="3">
        <v>972</v>
      </c>
      <c r="C14" s="3">
        <v>976</v>
      </c>
      <c r="D14" s="3">
        <v>940</v>
      </c>
      <c r="E14" s="3">
        <v>976.45</v>
      </c>
      <c r="F14" s="3">
        <v>950.45</v>
      </c>
      <c r="H14" s="10">
        <f t="shared" si="0"/>
        <v>-2.6627067438168877E-2</v>
      </c>
    </row>
    <row r="15" spans="1:12">
      <c r="A15" s="2">
        <v>45728</v>
      </c>
      <c r="B15" s="3">
        <v>952.8</v>
      </c>
      <c r="C15" s="3">
        <v>980.95</v>
      </c>
      <c r="D15" s="3">
        <v>941.8</v>
      </c>
      <c r="E15" s="3">
        <v>952.8</v>
      </c>
      <c r="F15" s="3">
        <v>976.45</v>
      </c>
      <c r="H15" s="10">
        <f t="shared" si="0"/>
        <v>2.4821578505457697E-2</v>
      </c>
    </row>
    <row r="16" spans="1:12">
      <c r="A16" s="2">
        <v>45727</v>
      </c>
      <c r="B16" s="3">
        <v>949.95</v>
      </c>
      <c r="C16" s="3">
        <v>965</v>
      </c>
      <c r="D16" s="3">
        <v>924.3</v>
      </c>
      <c r="E16" s="3">
        <v>957.2</v>
      </c>
      <c r="F16" s="3">
        <v>952.8</v>
      </c>
      <c r="H16" s="10">
        <f t="shared" si="0"/>
        <v>-4.5967404931049841E-3</v>
      </c>
    </row>
    <row r="17" spans="1:8">
      <c r="A17" s="2">
        <v>45726</v>
      </c>
      <c r="B17" s="3">
        <v>954.35</v>
      </c>
      <c r="C17" s="3">
        <v>975.3</v>
      </c>
      <c r="D17" s="3">
        <v>943.2</v>
      </c>
      <c r="E17" s="3">
        <v>954.35</v>
      </c>
      <c r="F17" s="3">
        <v>957.2</v>
      </c>
      <c r="H17" s="10">
        <f t="shared" si="0"/>
        <v>2.9863257714675146E-3</v>
      </c>
    </row>
    <row r="18" spans="1:8">
      <c r="A18" s="2">
        <v>45723</v>
      </c>
      <c r="B18" s="3">
        <v>970</v>
      </c>
      <c r="C18" s="3">
        <v>995.15</v>
      </c>
      <c r="D18" s="3">
        <v>946.25</v>
      </c>
      <c r="E18" s="3">
        <v>958.2</v>
      </c>
      <c r="F18" s="3">
        <v>954.35</v>
      </c>
      <c r="H18" s="10">
        <f t="shared" si="0"/>
        <v>-4.017950323523296E-3</v>
      </c>
    </row>
    <row r="19" spans="1:8">
      <c r="A19" s="2">
        <v>45722</v>
      </c>
      <c r="B19" s="3">
        <v>978.65</v>
      </c>
      <c r="C19" s="3">
        <v>998.55</v>
      </c>
      <c r="D19" s="3">
        <v>955.75</v>
      </c>
      <c r="E19" s="3">
        <v>965.1</v>
      </c>
      <c r="F19" s="3">
        <v>958.2</v>
      </c>
      <c r="H19" s="10">
        <f t="shared" si="0"/>
        <v>-7.1495181846440549E-3</v>
      </c>
    </row>
    <row r="20" spans="1:8">
      <c r="A20" s="2">
        <v>45721</v>
      </c>
      <c r="B20" s="3">
        <v>945.7</v>
      </c>
      <c r="C20" s="3">
        <v>977</v>
      </c>
      <c r="D20" s="3">
        <v>940</v>
      </c>
      <c r="E20" s="3">
        <v>948.3</v>
      </c>
      <c r="F20" s="3">
        <v>965.1</v>
      </c>
      <c r="H20" s="10">
        <f t="shared" si="0"/>
        <v>1.7715912685858978E-2</v>
      </c>
    </row>
    <row r="21" spans="1:8">
      <c r="A21" s="2">
        <v>45720</v>
      </c>
      <c r="B21" s="3">
        <v>929.1</v>
      </c>
      <c r="C21" s="3">
        <v>956.65</v>
      </c>
      <c r="D21" s="3">
        <v>914.85</v>
      </c>
      <c r="E21" s="3">
        <v>940</v>
      </c>
      <c r="F21" s="3">
        <v>948.3</v>
      </c>
      <c r="H21" s="10">
        <f t="shared" si="0"/>
        <v>8.8297872340425045E-3</v>
      </c>
    </row>
    <row r="22" spans="1:8">
      <c r="A22" s="2">
        <v>45719</v>
      </c>
      <c r="B22" s="3">
        <v>947</v>
      </c>
      <c r="C22" s="3">
        <v>960.55</v>
      </c>
      <c r="D22" s="3">
        <v>924.65</v>
      </c>
      <c r="E22" s="3">
        <v>947.05</v>
      </c>
      <c r="F22" s="3">
        <v>940</v>
      </c>
      <c r="H22" s="10">
        <f t="shared" si="0"/>
        <v>-7.4441687344912674E-3</v>
      </c>
    </row>
    <row r="23" spans="1:8">
      <c r="A23" s="2">
        <v>45716</v>
      </c>
      <c r="B23" s="3">
        <v>969.95</v>
      </c>
      <c r="C23" s="4">
        <v>1000.8</v>
      </c>
      <c r="D23" s="3">
        <v>932.2</v>
      </c>
      <c r="E23" s="3">
        <v>979.1</v>
      </c>
      <c r="F23" s="3">
        <v>947.05</v>
      </c>
      <c r="H23" s="10">
        <f t="shared" si="0"/>
        <v>-3.2734143601266537E-2</v>
      </c>
    </row>
    <row r="24" spans="1:8">
      <c r="A24" s="2">
        <v>45715</v>
      </c>
      <c r="B24" s="3">
        <v>973</v>
      </c>
      <c r="C24" s="4">
        <v>1005</v>
      </c>
      <c r="D24" s="3">
        <v>967.05</v>
      </c>
      <c r="E24" s="3">
        <v>976.2</v>
      </c>
      <c r="F24" s="3">
        <v>979.1</v>
      </c>
      <c r="H24" s="10">
        <f t="shared" si="0"/>
        <v>2.9707027248514414E-3</v>
      </c>
    </row>
    <row r="25" spans="1:8">
      <c r="A25" s="2">
        <v>45713</v>
      </c>
      <c r="B25" s="3">
        <v>997</v>
      </c>
      <c r="C25" s="4">
        <v>1000.4</v>
      </c>
      <c r="D25" s="3">
        <v>969.35</v>
      </c>
      <c r="E25" s="3">
        <v>997.25</v>
      </c>
      <c r="F25" s="3">
        <v>976.2</v>
      </c>
      <c r="H25" s="10">
        <f t="shared" si="0"/>
        <v>-2.1108047129606372E-2</v>
      </c>
    </row>
    <row r="26" spans="1:8">
      <c r="A26" s="2">
        <v>45712</v>
      </c>
      <c r="B26" s="4">
        <v>1006.1</v>
      </c>
      <c r="C26" s="4">
        <v>1020.35</v>
      </c>
      <c r="D26" s="3">
        <v>985</v>
      </c>
      <c r="E26" s="4">
        <v>1006.05</v>
      </c>
      <c r="F26" s="3">
        <v>997.25</v>
      </c>
      <c r="H26" s="10">
        <f t="shared" si="0"/>
        <v>-8.7470801650016954E-3</v>
      </c>
    </row>
    <row r="27" spans="1:8">
      <c r="A27" s="2">
        <v>45709</v>
      </c>
      <c r="B27" s="4">
        <v>1018</v>
      </c>
      <c r="C27" s="4">
        <v>1051.25</v>
      </c>
      <c r="D27" s="4">
        <v>1001</v>
      </c>
      <c r="E27" s="4">
        <v>1017</v>
      </c>
      <c r="F27" s="4">
        <v>1006.05</v>
      </c>
      <c r="H27" s="10">
        <f t="shared" si="0"/>
        <v>-1.0766961651917449E-2</v>
      </c>
    </row>
    <row r="28" spans="1:8">
      <c r="A28" s="2">
        <v>45708</v>
      </c>
      <c r="B28" s="4">
        <v>1015</v>
      </c>
      <c r="C28" s="4">
        <v>1044.45</v>
      </c>
      <c r="D28" s="4">
        <v>1005.05</v>
      </c>
      <c r="E28" s="4">
        <v>1023.85</v>
      </c>
      <c r="F28" s="4">
        <v>1017</v>
      </c>
      <c r="H28" s="10">
        <f t="shared" si="0"/>
        <v>-6.6904331689212511E-3</v>
      </c>
    </row>
    <row r="29" spans="1:8">
      <c r="A29" s="2">
        <v>45707</v>
      </c>
      <c r="B29" s="3">
        <v>974.9</v>
      </c>
      <c r="C29" s="4">
        <v>1028.7</v>
      </c>
      <c r="D29" s="3">
        <v>968.45</v>
      </c>
      <c r="E29" s="3">
        <v>973.85</v>
      </c>
      <c r="F29" s="4">
        <v>1023.85</v>
      </c>
      <c r="H29" s="10">
        <f t="shared" si="0"/>
        <v>5.1342609231401139E-2</v>
      </c>
    </row>
    <row r="30" spans="1:8">
      <c r="A30" s="2">
        <v>45706</v>
      </c>
      <c r="B30" s="3">
        <v>988</v>
      </c>
      <c r="C30" s="3">
        <v>995.8</v>
      </c>
      <c r="D30" s="3">
        <v>966</v>
      </c>
      <c r="E30" s="3">
        <v>987.3</v>
      </c>
      <c r="F30" s="3">
        <v>973.85</v>
      </c>
      <c r="H30" s="10">
        <f t="shared" si="0"/>
        <v>-1.3623012255646645E-2</v>
      </c>
    </row>
    <row r="31" spans="1:8">
      <c r="A31" s="2">
        <v>45705</v>
      </c>
      <c r="B31" s="4">
        <v>1018.95</v>
      </c>
      <c r="C31" s="4">
        <v>1019</v>
      </c>
      <c r="D31" s="3">
        <v>979</v>
      </c>
      <c r="E31" s="4">
        <v>1016.8</v>
      </c>
      <c r="F31" s="3">
        <v>987.3</v>
      </c>
      <c r="H31" s="10">
        <f t="shared" si="0"/>
        <v>-2.9012588512981906E-2</v>
      </c>
    </row>
    <row r="32" spans="1:8">
      <c r="A32" s="2">
        <v>45702</v>
      </c>
      <c r="B32" s="4">
        <v>1026.2</v>
      </c>
      <c r="C32" s="4">
        <v>1037.3499999999999</v>
      </c>
      <c r="D32" s="4">
        <v>1004</v>
      </c>
      <c r="E32" s="4">
        <v>1026.2</v>
      </c>
      <c r="F32" s="4">
        <v>1016.8</v>
      </c>
      <c r="H32" s="10">
        <f t="shared" si="0"/>
        <v>-9.1600077957514035E-3</v>
      </c>
    </row>
    <row r="33" spans="1:8">
      <c r="A33" s="2">
        <v>45701</v>
      </c>
      <c r="B33" s="4">
        <v>1026.05</v>
      </c>
      <c r="C33" s="4">
        <v>1062.3</v>
      </c>
      <c r="D33" s="4">
        <v>1012.25</v>
      </c>
      <c r="E33" s="4">
        <v>1026.0999999999999</v>
      </c>
      <c r="F33" s="4">
        <v>1026.2</v>
      </c>
      <c r="H33" s="10">
        <f t="shared" si="0"/>
        <v>9.7456388266383817E-5</v>
      </c>
    </row>
    <row r="34" spans="1:8">
      <c r="A34" s="2">
        <v>45700</v>
      </c>
      <c r="B34" s="4">
        <v>1060.95</v>
      </c>
      <c r="C34" s="4">
        <v>1066.4000000000001</v>
      </c>
      <c r="D34" s="4">
        <v>1012.9</v>
      </c>
      <c r="E34" s="4">
        <v>1058.45</v>
      </c>
      <c r="F34" s="4">
        <v>1026.0999999999999</v>
      </c>
      <c r="H34" s="10">
        <f t="shared" si="0"/>
        <v>-3.0563559922528353E-2</v>
      </c>
    </row>
    <row r="35" spans="1:8">
      <c r="A35" s="2">
        <v>45699</v>
      </c>
      <c r="B35" s="4">
        <v>1105</v>
      </c>
      <c r="C35" s="4">
        <v>1106.45</v>
      </c>
      <c r="D35" s="4">
        <v>1054</v>
      </c>
      <c r="E35" s="4">
        <v>1105.4000000000001</v>
      </c>
      <c r="F35" s="4">
        <v>1058.45</v>
      </c>
      <c r="H35" s="10">
        <f t="shared" si="0"/>
        <v>-4.2473312827935629E-2</v>
      </c>
    </row>
    <row r="36" spans="1:8">
      <c r="A36" s="2">
        <v>45698</v>
      </c>
      <c r="B36" s="4">
        <v>1146.5999999999999</v>
      </c>
      <c r="C36" s="4">
        <v>1148</v>
      </c>
      <c r="D36" s="4">
        <v>1098</v>
      </c>
      <c r="E36" s="4">
        <v>1146.7</v>
      </c>
      <c r="F36" s="4">
        <v>1105.4000000000001</v>
      </c>
      <c r="H36" s="10">
        <f t="shared" si="0"/>
        <v>-3.6016394872242043E-2</v>
      </c>
    </row>
    <row r="37" spans="1:8">
      <c r="A37" s="2">
        <v>45695</v>
      </c>
      <c r="B37" s="4">
        <v>1149.2</v>
      </c>
      <c r="C37" s="4">
        <v>1163.5999999999999</v>
      </c>
      <c r="D37" s="4">
        <v>1129.95</v>
      </c>
      <c r="E37" s="4">
        <v>1155.5</v>
      </c>
      <c r="F37" s="4">
        <v>1146.7</v>
      </c>
      <c r="H37" s="10">
        <f t="shared" si="0"/>
        <v>-7.6157507572479051E-3</v>
      </c>
    </row>
    <row r="38" spans="1:8">
      <c r="A38" s="2">
        <v>45694</v>
      </c>
      <c r="B38" s="4">
        <v>1162.75</v>
      </c>
      <c r="C38" s="4">
        <v>1169.1500000000001</v>
      </c>
      <c r="D38" s="4">
        <v>1122.75</v>
      </c>
      <c r="E38" s="4">
        <v>1158.6500000000001</v>
      </c>
      <c r="F38" s="4">
        <v>1155.5</v>
      </c>
      <c r="H38" s="10">
        <f t="shared" si="0"/>
        <v>-2.7186812238381656E-3</v>
      </c>
    </row>
    <row r="39" spans="1:8">
      <c r="A39" s="2">
        <v>45693</v>
      </c>
      <c r="B39" s="4">
        <v>1159.95</v>
      </c>
      <c r="C39" s="4">
        <v>1173.95</v>
      </c>
      <c r="D39" s="4">
        <v>1149</v>
      </c>
      <c r="E39" s="4">
        <v>1158.0999999999999</v>
      </c>
      <c r="F39" s="4">
        <v>1158.6500000000001</v>
      </c>
      <c r="H39" s="10">
        <f t="shared" si="0"/>
        <v>4.7491581037922625E-4</v>
      </c>
    </row>
    <row r="40" spans="1:8">
      <c r="A40" s="2">
        <v>45692</v>
      </c>
      <c r="B40" s="4">
        <v>1166.0999999999999</v>
      </c>
      <c r="C40" s="4">
        <v>1202.4000000000001</v>
      </c>
      <c r="D40" s="4">
        <v>1145.5</v>
      </c>
      <c r="E40" s="4">
        <v>1163.25</v>
      </c>
      <c r="F40" s="4">
        <v>1158.0999999999999</v>
      </c>
      <c r="H40" s="10">
        <f t="shared" si="0"/>
        <v>-4.4272512357619526E-3</v>
      </c>
    </row>
    <row r="41" spans="1:8">
      <c r="A41" s="2">
        <v>45691</v>
      </c>
      <c r="B41" s="4">
        <v>1139.3499999999999</v>
      </c>
      <c r="C41" s="4">
        <v>1226.2</v>
      </c>
      <c r="D41" s="4">
        <v>1136.0999999999999</v>
      </c>
      <c r="E41" s="4">
        <v>1163.8</v>
      </c>
      <c r="F41" s="4">
        <v>1163.25</v>
      </c>
      <c r="H41" s="10">
        <f t="shared" si="0"/>
        <v>-4.7258979206045242E-4</v>
      </c>
    </row>
    <row r="42" spans="1:8">
      <c r="A42" s="2">
        <v>45689</v>
      </c>
      <c r="B42" s="4">
        <v>1154.1500000000001</v>
      </c>
      <c r="C42" s="4">
        <v>1184.7</v>
      </c>
      <c r="D42" s="4">
        <v>1134.2</v>
      </c>
      <c r="E42" s="4">
        <v>1171.05</v>
      </c>
      <c r="F42" s="4">
        <v>1163.8</v>
      </c>
      <c r="H42" s="10">
        <f t="shared" si="0"/>
        <v>-6.1910251483711203E-3</v>
      </c>
    </row>
    <row r="43" spans="1:8">
      <c r="A43" s="2">
        <v>45688</v>
      </c>
      <c r="B43" s="4">
        <v>1125</v>
      </c>
      <c r="C43" s="4">
        <v>1176</v>
      </c>
      <c r="D43" s="4">
        <v>1108.7</v>
      </c>
      <c r="E43" s="4">
        <v>1113.9000000000001</v>
      </c>
      <c r="F43" s="4">
        <v>1171.05</v>
      </c>
      <c r="H43" s="10">
        <f t="shared" si="0"/>
        <v>5.1306221384325217E-2</v>
      </c>
    </row>
    <row r="44" spans="1:8">
      <c r="A44" s="2">
        <v>45687</v>
      </c>
      <c r="B44" s="4">
        <v>1182</v>
      </c>
      <c r="C44" s="4">
        <v>1182</v>
      </c>
      <c r="D44" s="4">
        <v>1101.05</v>
      </c>
      <c r="E44" s="4">
        <v>1093.05</v>
      </c>
      <c r="F44" s="4">
        <v>1113.9000000000001</v>
      </c>
      <c r="H44" s="10">
        <f t="shared" si="0"/>
        <v>1.9075065184575395E-2</v>
      </c>
    </row>
    <row r="45" spans="1:8">
      <c r="A45" s="2">
        <v>45686</v>
      </c>
      <c r="B45" s="4">
        <v>1013</v>
      </c>
      <c r="C45" s="4">
        <v>1207.3</v>
      </c>
      <c r="D45" s="4">
        <v>1013</v>
      </c>
      <c r="E45" s="4">
        <v>1013.9</v>
      </c>
      <c r="F45" s="4">
        <v>1093.05</v>
      </c>
      <c r="H45" s="10">
        <f t="shared" si="0"/>
        <v>7.8064897918926901E-2</v>
      </c>
    </row>
    <row r="46" spans="1:8">
      <c r="A46" s="2">
        <v>45685</v>
      </c>
      <c r="B46" s="4">
        <v>1017.2</v>
      </c>
      <c r="C46" s="4">
        <v>1029</v>
      </c>
      <c r="D46" s="3">
        <v>984.3</v>
      </c>
      <c r="E46" s="4">
        <v>1017.9</v>
      </c>
      <c r="F46" s="4">
        <v>1013.9</v>
      </c>
      <c r="H46" s="10">
        <f t="shared" si="0"/>
        <v>-3.9296591020728956E-3</v>
      </c>
    </row>
    <row r="47" spans="1:8">
      <c r="A47" s="2">
        <v>45684</v>
      </c>
      <c r="B47" s="4">
        <v>1026.5</v>
      </c>
      <c r="C47" s="4">
        <v>1032.45</v>
      </c>
      <c r="D47" s="3">
        <v>997.05</v>
      </c>
      <c r="E47" s="4">
        <v>1030.8</v>
      </c>
      <c r="F47" s="4">
        <v>1017.9</v>
      </c>
      <c r="H47" s="10">
        <f t="shared" si="0"/>
        <v>-1.2514551804423728E-2</v>
      </c>
    </row>
    <row r="48" spans="1:8">
      <c r="A48" s="2">
        <v>45681</v>
      </c>
      <c r="B48" s="4">
        <v>1065.5</v>
      </c>
      <c r="C48" s="4">
        <v>1093.95</v>
      </c>
      <c r="D48" s="4">
        <v>1024.2</v>
      </c>
      <c r="E48" s="4">
        <v>1057.1500000000001</v>
      </c>
      <c r="F48" s="4">
        <v>1030.8</v>
      </c>
      <c r="H48" s="10">
        <f t="shared" si="0"/>
        <v>-2.4925507260086209E-2</v>
      </c>
    </row>
    <row r="49" spans="1:8">
      <c r="A49" s="2">
        <v>45680</v>
      </c>
      <c r="B49" s="4">
        <v>1069.95</v>
      </c>
      <c r="C49" s="4">
        <v>1076.8499999999999</v>
      </c>
      <c r="D49" s="4">
        <v>1048.3</v>
      </c>
      <c r="E49" s="4">
        <v>1069.75</v>
      </c>
      <c r="F49" s="4">
        <v>1057.1500000000001</v>
      </c>
      <c r="H49" s="10">
        <f t="shared" si="0"/>
        <v>-1.1778452909558222E-2</v>
      </c>
    </row>
    <row r="50" spans="1:8">
      <c r="A50" s="2">
        <v>45679</v>
      </c>
      <c r="B50" s="4">
        <v>1110</v>
      </c>
      <c r="C50" s="4">
        <v>1119.7</v>
      </c>
      <c r="D50" s="4">
        <v>1055.75</v>
      </c>
      <c r="E50" s="4">
        <v>1112.5</v>
      </c>
      <c r="F50" s="4">
        <v>1069.75</v>
      </c>
      <c r="H50" s="10">
        <f t="shared" si="0"/>
        <v>-3.842696629213483E-2</v>
      </c>
    </row>
    <row r="51" spans="1:8">
      <c r="A51" s="2">
        <v>45678</v>
      </c>
      <c r="B51" s="4">
        <v>1139.8499999999999</v>
      </c>
      <c r="C51" s="4">
        <v>1141.45</v>
      </c>
      <c r="D51" s="4">
        <v>1105</v>
      </c>
      <c r="E51" s="4">
        <v>1137</v>
      </c>
      <c r="F51" s="4">
        <v>1112.5</v>
      </c>
      <c r="H51" s="10">
        <f t="shared" si="0"/>
        <v>-2.1547933157431837E-2</v>
      </c>
    </row>
    <row r="52" spans="1:8">
      <c r="A52" s="2">
        <v>45677</v>
      </c>
      <c r="B52" s="4">
        <v>1142.05</v>
      </c>
      <c r="C52" s="4">
        <v>1148.05</v>
      </c>
      <c r="D52" s="4">
        <v>1107.75</v>
      </c>
      <c r="E52" s="4">
        <v>1133.0999999999999</v>
      </c>
      <c r="F52" s="4">
        <v>1137</v>
      </c>
      <c r="H52" s="10">
        <f t="shared" si="0"/>
        <v>3.4418850939900198E-3</v>
      </c>
    </row>
    <row r="53" spans="1:8">
      <c r="A53" s="2">
        <v>45674</v>
      </c>
      <c r="B53" s="4">
        <v>1122.55</v>
      </c>
      <c r="C53" s="4">
        <v>1138.5</v>
      </c>
      <c r="D53" s="4">
        <v>1120.0999999999999</v>
      </c>
      <c r="E53" s="4">
        <v>1137.8</v>
      </c>
      <c r="F53" s="4">
        <v>1133.0999999999999</v>
      </c>
      <c r="H53" s="10">
        <f t="shared" si="0"/>
        <v>-4.1307786957286395E-3</v>
      </c>
    </row>
    <row r="54" spans="1:8">
      <c r="A54" s="2">
        <v>45673</v>
      </c>
      <c r="B54" s="4">
        <v>1113.9000000000001</v>
      </c>
      <c r="C54" s="4">
        <v>1166.75</v>
      </c>
      <c r="D54" s="4">
        <v>1113.9000000000001</v>
      </c>
      <c r="E54" s="4">
        <v>1103.75</v>
      </c>
      <c r="F54" s="4">
        <v>1137.8</v>
      </c>
      <c r="H54" s="10">
        <f t="shared" si="0"/>
        <v>3.0849377123442767E-2</v>
      </c>
    </row>
    <row r="55" spans="1:8">
      <c r="A55" s="2">
        <v>45672</v>
      </c>
      <c r="B55" s="4">
        <v>1080</v>
      </c>
      <c r="C55" s="4">
        <v>1112</v>
      </c>
      <c r="D55" s="4">
        <v>1071.0999999999999</v>
      </c>
      <c r="E55" s="4">
        <v>1081.25</v>
      </c>
      <c r="F55" s="4">
        <v>1103.75</v>
      </c>
      <c r="H55" s="10">
        <f t="shared" si="0"/>
        <v>2.0809248554913295E-2</v>
      </c>
    </row>
    <row r="56" spans="1:8">
      <c r="A56" s="2">
        <v>45671</v>
      </c>
      <c r="B56" s="4">
        <v>1063</v>
      </c>
      <c r="C56" s="4">
        <v>1096.75</v>
      </c>
      <c r="D56" s="4">
        <v>1055.0999999999999</v>
      </c>
      <c r="E56" s="4">
        <v>1063</v>
      </c>
      <c r="F56" s="4">
        <v>1081.25</v>
      </c>
      <c r="H56" s="10">
        <f t="shared" si="0"/>
        <v>1.7168391345249296E-2</v>
      </c>
    </row>
    <row r="57" spans="1:8">
      <c r="A57" s="2">
        <v>45670</v>
      </c>
      <c r="B57" s="4">
        <v>1126.3499999999999</v>
      </c>
      <c r="C57" s="4">
        <v>1139</v>
      </c>
      <c r="D57" s="4">
        <v>1055</v>
      </c>
      <c r="E57" s="4">
        <v>1148.25</v>
      </c>
      <c r="F57" s="4">
        <v>1063</v>
      </c>
      <c r="H57" s="10">
        <f t="shared" si="0"/>
        <v>-7.4243413890703241E-2</v>
      </c>
    </row>
    <row r="58" spans="1:8">
      <c r="A58" s="2">
        <v>45667</v>
      </c>
      <c r="B58" s="4">
        <v>1185.5</v>
      </c>
      <c r="C58" s="4">
        <v>1190.7</v>
      </c>
      <c r="D58" s="4">
        <v>1140.2</v>
      </c>
      <c r="E58" s="4">
        <v>1184.55</v>
      </c>
      <c r="F58" s="4">
        <v>1148.25</v>
      </c>
      <c r="H58" s="10">
        <f t="shared" si="0"/>
        <v>-3.0644548562745309E-2</v>
      </c>
    </row>
    <row r="59" spans="1:8">
      <c r="A59" s="2">
        <v>45666</v>
      </c>
      <c r="B59" s="4">
        <v>1211.05</v>
      </c>
      <c r="C59" s="4">
        <v>1223.95</v>
      </c>
      <c r="D59" s="4">
        <v>1180</v>
      </c>
      <c r="E59" s="4">
        <v>1221.6500000000001</v>
      </c>
      <c r="F59" s="4">
        <v>1184.55</v>
      </c>
      <c r="H59" s="10">
        <f t="shared" si="0"/>
        <v>-3.036876355748384E-2</v>
      </c>
    </row>
    <row r="60" spans="1:8">
      <c r="A60" s="2">
        <v>45665</v>
      </c>
      <c r="B60" s="4">
        <v>1254.95</v>
      </c>
      <c r="C60" s="4">
        <v>1256.95</v>
      </c>
      <c r="D60" s="4">
        <v>1217</v>
      </c>
      <c r="E60" s="4">
        <v>1248.8499999999999</v>
      </c>
      <c r="F60" s="4">
        <v>1221.6500000000001</v>
      </c>
      <c r="H60" s="10">
        <f t="shared" si="0"/>
        <v>-2.178003763462371E-2</v>
      </c>
    </row>
    <row r="61" spans="1:8">
      <c r="A61" s="2">
        <v>45664</v>
      </c>
      <c r="B61" s="4">
        <v>1244</v>
      </c>
      <c r="C61" s="4">
        <v>1264.7</v>
      </c>
      <c r="D61" s="4">
        <v>1234.0999999999999</v>
      </c>
      <c r="E61" s="4">
        <v>1254</v>
      </c>
      <c r="F61" s="4">
        <v>1248.8499999999999</v>
      </c>
      <c r="H61" s="10">
        <f t="shared" si="0"/>
        <v>-4.1068580542265474E-3</v>
      </c>
    </row>
    <row r="62" spans="1:8">
      <c r="A62" s="2">
        <v>45663</v>
      </c>
      <c r="B62" s="4">
        <v>1314.35</v>
      </c>
      <c r="C62" s="4">
        <v>1314.35</v>
      </c>
      <c r="D62" s="4">
        <v>1245.0999999999999</v>
      </c>
      <c r="E62" s="4">
        <v>1295.0999999999999</v>
      </c>
      <c r="F62" s="4">
        <v>1254</v>
      </c>
      <c r="H62" s="10">
        <f t="shared" si="0"/>
        <v>-3.1735001158211651E-2</v>
      </c>
    </row>
    <row r="63" spans="1:8">
      <c r="A63" s="2">
        <v>45660</v>
      </c>
      <c r="B63" s="4">
        <v>1269.45</v>
      </c>
      <c r="C63" s="4">
        <v>1304.3499999999999</v>
      </c>
      <c r="D63" s="4">
        <v>1269.4000000000001</v>
      </c>
      <c r="E63" s="4">
        <v>1277.1500000000001</v>
      </c>
      <c r="F63" s="4">
        <v>1295.0999999999999</v>
      </c>
      <c r="H63" s="10">
        <f t="shared" si="0"/>
        <v>1.40547312375209E-2</v>
      </c>
    </row>
    <row r="64" spans="1:8">
      <c r="A64" s="2">
        <v>45659</v>
      </c>
      <c r="B64" s="4">
        <v>1242.05</v>
      </c>
      <c r="C64" s="4">
        <v>1282.95</v>
      </c>
      <c r="D64" s="4">
        <v>1235.05</v>
      </c>
      <c r="E64" s="4">
        <v>1240.1500000000001</v>
      </c>
      <c r="F64" s="4">
        <v>1277.1500000000001</v>
      </c>
      <c r="H64" s="10">
        <f t="shared" si="0"/>
        <v>2.9835100592670239E-2</v>
      </c>
    </row>
    <row r="65" spans="1:8">
      <c r="A65" s="2">
        <v>45658</v>
      </c>
      <c r="B65" s="4">
        <v>1243</v>
      </c>
      <c r="C65" s="4">
        <v>1256.2</v>
      </c>
      <c r="D65" s="4">
        <v>1230</v>
      </c>
      <c r="E65" s="4">
        <v>1243</v>
      </c>
      <c r="F65" s="4">
        <v>1240.1500000000001</v>
      </c>
      <c r="H65" s="10">
        <f t="shared" si="0"/>
        <v>-2.2928399034592992E-3</v>
      </c>
    </row>
    <row r="66" spans="1:8">
      <c r="A66" s="2">
        <v>45657</v>
      </c>
      <c r="B66" s="4">
        <v>1225.95</v>
      </c>
      <c r="C66" s="4">
        <v>1252.95</v>
      </c>
      <c r="D66" s="4">
        <v>1220.05</v>
      </c>
      <c r="E66" s="4">
        <v>1226.7</v>
      </c>
      <c r="F66" s="4">
        <v>1243</v>
      </c>
      <c r="H66" s="10">
        <f t="shared" si="0"/>
        <v>1.3287682399934747E-2</v>
      </c>
    </row>
    <row r="67" spans="1:8">
      <c r="A67" s="2">
        <v>45656</v>
      </c>
      <c r="B67" s="4">
        <v>1240.0999999999999</v>
      </c>
      <c r="C67" s="4">
        <v>1248</v>
      </c>
      <c r="D67" s="4">
        <v>1222</v>
      </c>
      <c r="E67" s="4">
        <v>1246.7</v>
      </c>
      <c r="F67" s="4">
        <v>1226.7</v>
      </c>
      <c r="H67" s="10">
        <f t="shared" si="0"/>
        <v>-1.6042351808775165E-2</v>
      </c>
    </row>
    <row r="68" spans="1:8">
      <c r="A68" s="2">
        <v>45653</v>
      </c>
      <c r="B68" s="4">
        <v>1246</v>
      </c>
      <c r="C68" s="4">
        <v>1260</v>
      </c>
      <c r="D68" s="4">
        <v>1235.05</v>
      </c>
      <c r="E68" s="4">
        <v>1246.2</v>
      </c>
      <c r="F68" s="4">
        <v>1246.7</v>
      </c>
      <c r="H68" s="10">
        <f t="shared" si="0"/>
        <v>4.0121970791205262E-4</v>
      </c>
    </row>
    <row r="69" spans="1:8">
      <c r="A69" s="2">
        <v>45652</v>
      </c>
      <c r="B69" s="4">
        <v>1264.8</v>
      </c>
      <c r="C69" s="4">
        <v>1276</v>
      </c>
      <c r="D69" s="4">
        <v>1238.05</v>
      </c>
      <c r="E69" s="4">
        <v>1264.8</v>
      </c>
      <c r="F69" s="4">
        <v>1246.2</v>
      </c>
      <c r="H69" s="10">
        <f t="shared" ref="H69:H132" si="1">(F69-E69)/E69</f>
        <v>-1.4705882352941105E-2</v>
      </c>
    </row>
    <row r="70" spans="1:8">
      <c r="A70" s="2">
        <v>45650</v>
      </c>
      <c r="B70" s="4">
        <v>1258.4000000000001</v>
      </c>
      <c r="C70" s="4">
        <v>1269</v>
      </c>
      <c r="D70" s="4">
        <v>1238</v>
      </c>
      <c r="E70" s="4">
        <v>1258.4000000000001</v>
      </c>
      <c r="F70" s="4">
        <v>1264.8</v>
      </c>
      <c r="H70" s="10">
        <f t="shared" si="1"/>
        <v>5.0858232676413411E-3</v>
      </c>
    </row>
    <row r="71" spans="1:8">
      <c r="A71" s="2">
        <v>45649</v>
      </c>
      <c r="B71" s="4">
        <v>1253.05</v>
      </c>
      <c r="C71" s="4">
        <v>1338.7</v>
      </c>
      <c r="D71" s="4">
        <v>1244.3</v>
      </c>
      <c r="E71" s="4">
        <v>1236.7</v>
      </c>
      <c r="F71" s="4">
        <v>1258.4000000000001</v>
      </c>
      <c r="H71" s="10">
        <f t="shared" si="1"/>
        <v>1.7546696854532258E-2</v>
      </c>
    </row>
    <row r="72" spans="1:8">
      <c r="A72" s="2">
        <v>45646</v>
      </c>
      <c r="B72" s="4">
        <v>1306</v>
      </c>
      <c r="C72" s="4">
        <v>1306</v>
      </c>
      <c r="D72" s="4">
        <v>1215.25</v>
      </c>
      <c r="E72" s="4">
        <v>1302.95</v>
      </c>
      <c r="F72" s="4">
        <v>1236.7</v>
      </c>
      <c r="H72" s="10">
        <f t="shared" si="1"/>
        <v>-5.0846156798035225E-2</v>
      </c>
    </row>
    <row r="73" spans="1:8">
      <c r="A73" s="2">
        <v>45645</v>
      </c>
      <c r="B73" s="4">
        <v>1260</v>
      </c>
      <c r="C73" s="4">
        <v>1318.5</v>
      </c>
      <c r="D73" s="4">
        <v>1231.25</v>
      </c>
      <c r="E73" s="4">
        <v>1275.3499999999999</v>
      </c>
      <c r="F73" s="4">
        <v>1302.95</v>
      </c>
      <c r="H73" s="10">
        <f t="shared" si="1"/>
        <v>2.1641118124436538E-2</v>
      </c>
    </row>
    <row r="74" spans="1:8">
      <c r="A74" s="2">
        <v>45644</v>
      </c>
      <c r="B74" s="4">
        <v>1302.75</v>
      </c>
      <c r="C74" s="4">
        <v>1303.8</v>
      </c>
      <c r="D74" s="4">
        <v>1265.8</v>
      </c>
      <c r="E74" s="4">
        <v>1298.8499999999999</v>
      </c>
      <c r="F74" s="4">
        <v>1275.3499999999999</v>
      </c>
      <c r="H74" s="10">
        <f t="shared" si="1"/>
        <v>-1.8092928359702814E-2</v>
      </c>
    </row>
    <row r="75" spans="1:8">
      <c r="A75" s="2">
        <v>45643</v>
      </c>
      <c r="B75" s="4">
        <v>1289</v>
      </c>
      <c r="C75" s="4">
        <v>1336.8</v>
      </c>
      <c r="D75" s="4">
        <v>1280.05</v>
      </c>
      <c r="E75" s="4">
        <v>1288.4000000000001</v>
      </c>
      <c r="F75" s="4">
        <v>1298.8499999999999</v>
      </c>
      <c r="H75" s="10">
        <f t="shared" si="1"/>
        <v>8.110835144364963E-3</v>
      </c>
    </row>
    <row r="76" spans="1:8">
      <c r="A76" s="2">
        <v>45642</v>
      </c>
      <c r="B76" s="4">
        <v>1251</v>
      </c>
      <c r="C76" s="4">
        <v>1300</v>
      </c>
      <c r="D76" s="4">
        <v>1251</v>
      </c>
      <c r="E76" s="4">
        <v>1248.1500000000001</v>
      </c>
      <c r="F76" s="4">
        <v>1288.4000000000001</v>
      </c>
      <c r="H76" s="10">
        <f t="shared" si="1"/>
        <v>3.2247726635420422E-2</v>
      </c>
    </row>
    <row r="77" spans="1:8">
      <c r="A77" s="2">
        <v>45639</v>
      </c>
      <c r="B77" s="4">
        <v>1246</v>
      </c>
      <c r="C77" s="4">
        <v>1265</v>
      </c>
      <c r="D77" s="4">
        <v>1232.4000000000001</v>
      </c>
      <c r="E77" s="4">
        <v>1250.3499999999999</v>
      </c>
      <c r="F77" s="4">
        <v>1248.1500000000001</v>
      </c>
      <c r="H77" s="10">
        <f t="shared" si="1"/>
        <v>-1.75950733794523E-3</v>
      </c>
    </row>
    <row r="78" spans="1:8">
      <c r="A78" s="2">
        <v>45638</v>
      </c>
      <c r="B78" s="4">
        <v>1235.95</v>
      </c>
      <c r="C78" s="4">
        <v>1255.7</v>
      </c>
      <c r="D78" s="4">
        <v>1227.2</v>
      </c>
      <c r="E78" s="4">
        <v>1235.95</v>
      </c>
      <c r="F78" s="4">
        <v>1250.3499999999999</v>
      </c>
      <c r="H78" s="10">
        <f t="shared" si="1"/>
        <v>1.1650956753913883E-2</v>
      </c>
    </row>
    <row r="79" spans="1:8">
      <c r="A79" s="2">
        <v>45637</v>
      </c>
      <c r="B79" s="4">
        <v>1290</v>
      </c>
      <c r="C79" s="4">
        <v>1293.05</v>
      </c>
      <c r="D79" s="4">
        <v>1231</v>
      </c>
      <c r="E79" s="4">
        <v>1280.05</v>
      </c>
      <c r="F79" s="4">
        <v>1235.95</v>
      </c>
      <c r="H79" s="10">
        <f t="shared" si="1"/>
        <v>-3.4451779227373858E-2</v>
      </c>
    </row>
    <row r="80" spans="1:8">
      <c r="A80" s="2">
        <v>45636</v>
      </c>
      <c r="B80" s="4">
        <v>1286.0999999999999</v>
      </c>
      <c r="C80" s="4">
        <v>1310</v>
      </c>
      <c r="D80" s="4">
        <v>1273.25</v>
      </c>
      <c r="E80" s="4">
        <v>1279.0999999999999</v>
      </c>
      <c r="F80" s="4">
        <v>1280.05</v>
      </c>
      <c r="H80" s="10">
        <f t="shared" si="1"/>
        <v>7.4270971777034287E-4</v>
      </c>
    </row>
    <row r="81" spans="1:8">
      <c r="A81" s="2">
        <v>45635</v>
      </c>
      <c r="B81" s="4">
        <v>1300</v>
      </c>
      <c r="C81" s="4">
        <v>1320</v>
      </c>
      <c r="D81" s="4">
        <v>1276.0999999999999</v>
      </c>
      <c r="E81" s="4">
        <v>1309.1500000000001</v>
      </c>
      <c r="F81" s="4">
        <v>1279.0999999999999</v>
      </c>
      <c r="H81" s="10">
        <f t="shared" si="1"/>
        <v>-2.2953825000954955E-2</v>
      </c>
    </row>
    <row r="82" spans="1:8">
      <c r="A82" s="2">
        <v>45632</v>
      </c>
      <c r="B82" s="4">
        <v>1305.75</v>
      </c>
      <c r="C82" s="4">
        <v>1340.5</v>
      </c>
      <c r="D82" s="4">
        <v>1280.3499999999999</v>
      </c>
      <c r="E82" s="4">
        <v>1303.05</v>
      </c>
      <c r="F82" s="4">
        <v>1309.1500000000001</v>
      </c>
      <c r="H82" s="10">
        <f t="shared" si="1"/>
        <v>4.6813245846284764E-3</v>
      </c>
    </row>
    <row r="83" spans="1:8">
      <c r="A83" s="2">
        <v>45631</v>
      </c>
      <c r="B83" s="4">
        <v>1309</v>
      </c>
      <c r="C83" s="4">
        <v>1324.9</v>
      </c>
      <c r="D83" s="4">
        <v>1290.0999999999999</v>
      </c>
      <c r="E83" s="4">
        <v>1297.0999999999999</v>
      </c>
      <c r="F83" s="4">
        <v>1303.05</v>
      </c>
      <c r="H83" s="10">
        <f t="shared" si="1"/>
        <v>4.5871559633027872E-3</v>
      </c>
    </row>
    <row r="84" spans="1:8">
      <c r="A84" s="2">
        <v>45630</v>
      </c>
      <c r="B84" s="4">
        <v>1288.3</v>
      </c>
      <c r="C84" s="4">
        <v>1301.55</v>
      </c>
      <c r="D84" s="4">
        <v>1268.05</v>
      </c>
      <c r="E84" s="4">
        <v>1284.8499999999999</v>
      </c>
      <c r="F84" s="4">
        <v>1297.0999999999999</v>
      </c>
      <c r="H84" s="10">
        <f t="shared" si="1"/>
        <v>9.5341868700626539E-3</v>
      </c>
    </row>
    <row r="85" spans="1:8">
      <c r="A85" s="2">
        <v>45629</v>
      </c>
      <c r="B85" s="4">
        <v>1247.95</v>
      </c>
      <c r="C85" s="4">
        <v>1291.8499999999999</v>
      </c>
      <c r="D85" s="4">
        <v>1237.45</v>
      </c>
      <c r="E85" s="4">
        <v>1248</v>
      </c>
      <c r="F85" s="4">
        <v>1284.8499999999999</v>
      </c>
      <c r="H85" s="10">
        <f t="shared" si="1"/>
        <v>2.9527243589743516E-2</v>
      </c>
    </row>
    <row r="86" spans="1:8">
      <c r="A86" s="2">
        <v>45628</v>
      </c>
      <c r="B86" s="4">
        <v>1252</v>
      </c>
      <c r="C86" s="4">
        <v>1255</v>
      </c>
      <c r="D86" s="4">
        <v>1225.3</v>
      </c>
      <c r="E86" s="4">
        <v>1240.9000000000001</v>
      </c>
      <c r="F86" s="4">
        <v>1248</v>
      </c>
      <c r="H86" s="10">
        <f t="shared" si="1"/>
        <v>5.7216536384881202E-3</v>
      </c>
    </row>
    <row r="87" spans="1:8">
      <c r="A87" s="2">
        <v>45625</v>
      </c>
      <c r="B87" s="4">
        <v>1230</v>
      </c>
      <c r="C87" s="4">
        <v>1249</v>
      </c>
      <c r="D87" s="4">
        <v>1212</v>
      </c>
      <c r="E87" s="4">
        <v>1228.5999999999999</v>
      </c>
      <c r="F87" s="4">
        <v>1240.9000000000001</v>
      </c>
      <c r="H87" s="10">
        <f t="shared" si="1"/>
        <v>1.0011395083835408E-2</v>
      </c>
    </row>
    <row r="88" spans="1:8">
      <c r="A88" s="2">
        <v>45624</v>
      </c>
      <c r="B88" s="4">
        <v>1227</v>
      </c>
      <c r="C88" s="4">
        <v>1252.95</v>
      </c>
      <c r="D88" s="4">
        <v>1221.5</v>
      </c>
      <c r="E88" s="4">
        <v>1219.6500000000001</v>
      </c>
      <c r="F88" s="4">
        <v>1228.5999999999999</v>
      </c>
      <c r="H88" s="10">
        <f t="shared" si="1"/>
        <v>7.3381707867009533E-3</v>
      </c>
    </row>
    <row r="89" spans="1:8">
      <c r="A89" s="2">
        <v>45623</v>
      </c>
      <c r="B89" s="4">
        <v>1206.95</v>
      </c>
      <c r="C89" s="4">
        <v>1244.5999999999999</v>
      </c>
      <c r="D89" s="4">
        <v>1204.2</v>
      </c>
      <c r="E89" s="4">
        <v>1206.95</v>
      </c>
      <c r="F89" s="4">
        <v>1219.6500000000001</v>
      </c>
      <c r="H89" s="10">
        <f t="shared" si="1"/>
        <v>1.0522391151249054E-2</v>
      </c>
    </row>
    <row r="90" spans="1:8">
      <c r="A90" s="2">
        <v>45622</v>
      </c>
      <c r="B90" s="4">
        <v>1240.2</v>
      </c>
      <c r="C90" s="4">
        <v>1250.95</v>
      </c>
      <c r="D90" s="4">
        <v>1201</v>
      </c>
      <c r="E90" s="4">
        <v>1227.9000000000001</v>
      </c>
      <c r="F90" s="4">
        <v>1206.95</v>
      </c>
      <c r="H90" s="10">
        <f t="shared" si="1"/>
        <v>-1.7061649971496087E-2</v>
      </c>
    </row>
    <row r="91" spans="1:8">
      <c r="A91" s="2">
        <v>45621</v>
      </c>
      <c r="B91" s="4">
        <v>1214.9000000000001</v>
      </c>
      <c r="C91" s="4">
        <v>1265</v>
      </c>
      <c r="D91" s="4">
        <v>1196.3499999999999</v>
      </c>
      <c r="E91" s="4">
        <v>1194.4000000000001</v>
      </c>
      <c r="F91" s="4">
        <v>1227.9000000000001</v>
      </c>
      <c r="H91" s="10">
        <f t="shared" si="1"/>
        <v>2.8047555257870057E-2</v>
      </c>
    </row>
    <row r="92" spans="1:8">
      <c r="A92" s="2">
        <v>45618</v>
      </c>
      <c r="B92" s="4">
        <v>1184.8</v>
      </c>
      <c r="C92" s="4">
        <v>1208.55</v>
      </c>
      <c r="D92" s="4">
        <v>1176.8</v>
      </c>
      <c r="E92" s="4">
        <v>1179.5</v>
      </c>
      <c r="F92" s="4">
        <v>1194.4000000000001</v>
      </c>
      <c r="H92" s="10">
        <f t="shared" si="1"/>
        <v>1.2632471386180661E-2</v>
      </c>
    </row>
    <row r="93" spans="1:8">
      <c r="A93" s="2">
        <v>45617</v>
      </c>
      <c r="B93" s="4">
        <v>1156.05</v>
      </c>
      <c r="C93" s="4">
        <v>1211</v>
      </c>
      <c r="D93" s="4">
        <v>1150.2</v>
      </c>
      <c r="E93" s="4">
        <v>1149.25</v>
      </c>
      <c r="F93" s="4">
        <v>1179.5</v>
      </c>
      <c r="H93" s="10">
        <f t="shared" si="1"/>
        <v>2.6321514030889712E-2</v>
      </c>
    </row>
    <row r="94" spans="1:8">
      <c r="A94" s="2">
        <v>45615</v>
      </c>
      <c r="B94" s="4">
        <v>1130</v>
      </c>
      <c r="C94" s="4">
        <v>1172.7</v>
      </c>
      <c r="D94" s="4">
        <v>1123.2</v>
      </c>
      <c r="E94" s="4">
        <v>1135</v>
      </c>
      <c r="F94" s="4">
        <v>1149.25</v>
      </c>
      <c r="H94" s="10">
        <f t="shared" si="1"/>
        <v>1.2555066079295154E-2</v>
      </c>
    </row>
    <row r="95" spans="1:8">
      <c r="A95" s="2">
        <v>45614</v>
      </c>
      <c r="B95" s="4">
        <v>1098.75</v>
      </c>
      <c r="C95" s="4">
        <v>1148</v>
      </c>
      <c r="D95" s="4">
        <v>1098.75</v>
      </c>
      <c r="E95" s="4">
        <v>1095.55</v>
      </c>
      <c r="F95" s="4">
        <v>1135</v>
      </c>
      <c r="H95" s="10">
        <f t="shared" si="1"/>
        <v>3.6009310392040569E-2</v>
      </c>
    </row>
    <row r="96" spans="1:8">
      <c r="A96" s="2">
        <v>45610</v>
      </c>
      <c r="B96" s="4">
        <v>1052</v>
      </c>
      <c r="C96" s="4">
        <v>1100</v>
      </c>
      <c r="D96" s="4">
        <v>1049.05</v>
      </c>
      <c r="E96" s="4">
        <v>1073.05</v>
      </c>
      <c r="F96" s="4">
        <v>1095.55</v>
      </c>
      <c r="H96" s="10">
        <f t="shared" si="1"/>
        <v>2.096826802106146E-2</v>
      </c>
    </row>
    <row r="97" spans="1:8">
      <c r="A97" s="2">
        <v>45609</v>
      </c>
      <c r="B97" s="4">
        <v>1116.05</v>
      </c>
      <c r="C97" s="4">
        <v>1119.4000000000001</v>
      </c>
      <c r="D97" s="4">
        <v>1060</v>
      </c>
      <c r="E97" s="4">
        <v>1124.75</v>
      </c>
      <c r="F97" s="4">
        <v>1073.05</v>
      </c>
      <c r="H97" s="10">
        <f t="shared" si="1"/>
        <v>-4.5965770171149188E-2</v>
      </c>
    </row>
    <row r="98" spans="1:8">
      <c r="A98" s="2">
        <v>45608</v>
      </c>
      <c r="B98" s="4">
        <v>1104.3499999999999</v>
      </c>
      <c r="C98" s="4">
        <v>1146.05</v>
      </c>
      <c r="D98" s="4">
        <v>1104.1500000000001</v>
      </c>
      <c r="E98" s="4">
        <v>1104.1500000000001</v>
      </c>
      <c r="F98" s="4">
        <v>1124.75</v>
      </c>
      <c r="H98" s="10">
        <f t="shared" si="1"/>
        <v>1.8656885386949151E-2</v>
      </c>
    </row>
    <row r="99" spans="1:8">
      <c r="A99" s="2">
        <v>45607</v>
      </c>
      <c r="B99" s="4">
        <v>1121.55</v>
      </c>
      <c r="C99" s="4">
        <v>1128.8</v>
      </c>
      <c r="D99" s="4">
        <v>1091.7</v>
      </c>
      <c r="E99" s="4">
        <v>1124.2</v>
      </c>
      <c r="F99" s="4">
        <v>1104.1500000000001</v>
      </c>
      <c r="H99" s="10">
        <f t="shared" si="1"/>
        <v>-1.783490482120615E-2</v>
      </c>
    </row>
    <row r="100" spans="1:8">
      <c r="A100" s="2">
        <v>45604</v>
      </c>
      <c r="B100" s="4">
        <v>1179</v>
      </c>
      <c r="C100" s="4">
        <v>1181.0999999999999</v>
      </c>
      <c r="D100" s="4">
        <v>1116.2</v>
      </c>
      <c r="E100" s="4">
        <v>1155.45</v>
      </c>
      <c r="F100" s="4">
        <v>1124.2</v>
      </c>
      <c r="H100" s="10">
        <f t="shared" si="1"/>
        <v>-2.704573975507378E-2</v>
      </c>
    </row>
    <row r="101" spans="1:8">
      <c r="A101" s="2">
        <v>45603</v>
      </c>
      <c r="B101" s="4">
        <v>1205.6500000000001</v>
      </c>
      <c r="C101" s="4">
        <v>1224.95</v>
      </c>
      <c r="D101" s="4">
        <v>1146.2</v>
      </c>
      <c r="E101" s="4">
        <v>1205.6500000000001</v>
      </c>
      <c r="F101" s="4">
        <v>1155.45</v>
      </c>
      <c r="H101" s="10">
        <f t="shared" si="1"/>
        <v>-4.1637291087795E-2</v>
      </c>
    </row>
    <row r="102" spans="1:8">
      <c r="A102" s="2">
        <v>45602</v>
      </c>
      <c r="B102" s="4">
        <v>1218.5</v>
      </c>
      <c r="C102" s="4">
        <v>1260</v>
      </c>
      <c r="D102" s="4">
        <v>1199</v>
      </c>
      <c r="E102" s="4">
        <v>1218.55</v>
      </c>
      <c r="F102" s="4">
        <v>1205.6500000000001</v>
      </c>
      <c r="H102" s="10">
        <f t="shared" si="1"/>
        <v>-1.0586352632226716E-2</v>
      </c>
    </row>
    <row r="103" spans="1:8">
      <c r="A103" s="2">
        <v>45601</v>
      </c>
      <c r="B103" s="4">
        <v>1184.5999999999999</v>
      </c>
      <c r="C103" s="4">
        <v>1225</v>
      </c>
      <c r="D103" s="4">
        <v>1170.3499999999999</v>
      </c>
      <c r="E103" s="4">
        <v>1182.8</v>
      </c>
      <c r="F103" s="4">
        <v>1218.55</v>
      </c>
      <c r="H103" s="10">
        <f t="shared" si="1"/>
        <v>3.022489009130876E-2</v>
      </c>
    </row>
    <row r="104" spans="1:8">
      <c r="A104" s="2">
        <v>45600</v>
      </c>
      <c r="B104" s="4">
        <v>1237.5999999999999</v>
      </c>
      <c r="C104" s="4">
        <v>1239.75</v>
      </c>
      <c r="D104" s="4">
        <v>1173.8</v>
      </c>
      <c r="E104" s="4">
        <v>1251.5999999999999</v>
      </c>
      <c r="F104" s="4">
        <v>1182.8</v>
      </c>
      <c r="H104" s="10">
        <f t="shared" si="1"/>
        <v>-5.4969638862256281E-2</v>
      </c>
    </row>
    <row r="105" spans="1:8">
      <c r="A105" s="2">
        <v>45597</v>
      </c>
      <c r="B105" s="4">
        <v>1225</v>
      </c>
      <c r="C105" s="4">
        <v>1284.7</v>
      </c>
      <c r="D105" s="4">
        <v>1191.9000000000001</v>
      </c>
      <c r="E105" s="4">
        <v>1178.8</v>
      </c>
      <c r="F105" s="4">
        <v>1251.5999999999999</v>
      </c>
      <c r="H105" s="10">
        <f t="shared" si="1"/>
        <v>6.1757719714964333E-2</v>
      </c>
    </row>
    <row r="106" spans="1:8">
      <c r="A106" s="2">
        <v>45596</v>
      </c>
      <c r="B106" s="4">
        <v>1207.75</v>
      </c>
      <c r="C106" s="4">
        <v>1218.95</v>
      </c>
      <c r="D106" s="4">
        <v>1163.05</v>
      </c>
      <c r="E106" s="4">
        <v>1197.0999999999999</v>
      </c>
      <c r="F106" s="4">
        <v>1178.8</v>
      </c>
      <c r="H106" s="10">
        <f t="shared" si="1"/>
        <v>-1.5286943446662732E-2</v>
      </c>
    </row>
    <row r="107" spans="1:8">
      <c r="A107" s="2">
        <v>45595</v>
      </c>
      <c r="B107" s="4">
        <v>1186.95</v>
      </c>
      <c r="C107" s="4">
        <v>1213.95</v>
      </c>
      <c r="D107" s="4">
        <v>1184.9000000000001</v>
      </c>
      <c r="E107" s="4">
        <v>1191.8</v>
      </c>
      <c r="F107" s="4">
        <v>1197.0999999999999</v>
      </c>
      <c r="H107" s="10">
        <f t="shared" si="1"/>
        <v>4.4470548749789857E-3</v>
      </c>
    </row>
    <row r="108" spans="1:8">
      <c r="A108" s="2">
        <v>45594</v>
      </c>
      <c r="B108" s="4">
        <v>1169</v>
      </c>
      <c r="C108" s="4">
        <v>1212</v>
      </c>
      <c r="D108" s="4">
        <v>1134</v>
      </c>
      <c r="E108" s="4">
        <v>1164.8</v>
      </c>
      <c r="F108" s="4">
        <v>1191.8</v>
      </c>
      <c r="H108" s="10">
        <f t="shared" si="1"/>
        <v>2.3179945054945056E-2</v>
      </c>
    </row>
    <row r="109" spans="1:8">
      <c r="A109" s="2">
        <v>45593</v>
      </c>
      <c r="B109" s="4">
        <v>1160.0999999999999</v>
      </c>
      <c r="C109" s="4">
        <v>1174.3</v>
      </c>
      <c r="D109" s="4">
        <v>1143</v>
      </c>
      <c r="E109" s="4">
        <v>1180.55</v>
      </c>
      <c r="F109" s="4">
        <v>1164.8</v>
      </c>
      <c r="H109" s="10">
        <f t="shared" si="1"/>
        <v>-1.3341239252890602E-2</v>
      </c>
    </row>
    <row r="110" spans="1:8">
      <c r="A110" s="2">
        <v>45590</v>
      </c>
      <c r="B110" s="4">
        <v>1190.95</v>
      </c>
      <c r="C110" s="4">
        <v>1212.5999999999999</v>
      </c>
      <c r="D110" s="4">
        <v>1150.1500000000001</v>
      </c>
      <c r="E110" s="4">
        <v>1188</v>
      </c>
      <c r="F110" s="4">
        <v>1180.55</v>
      </c>
      <c r="H110" s="10">
        <f t="shared" si="1"/>
        <v>-6.2710437710438091E-3</v>
      </c>
    </row>
    <row r="111" spans="1:8">
      <c r="A111" s="2">
        <v>45589</v>
      </c>
      <c r="B111" s="4">
        <v>1203</v>
      </c>
      <c r="C111" s="4">
        <v>1217.8499999999999</v>
      </c>
      <c r="D111" s="4">
        <v>1175</v>
      </c>
      <c r="E111" s="4">
        <v>1200.9000000000001</v>
      </c>
      <c r="F111" s="4">
        <v>1188</v>
      </c>
      <c r="H111" s="10">
        <f t="shared" si="1"/>
        <v>-1.0741943542343318E-2</v>
      </c>
    </row>
    <row r="112" spans="1:8">
      <c r="A112" s="2">
        <v>45588</v>
      </c>
      <c r="B112" s="4">
        <v>1208.25</v>
      </c>
      <c r="C112" s="4">
        <v>1220.55</v>
      </c>
      <c r="D112" s="4">
        <v>1174.2</v>
      </c>
      <c r="E112" s="4">
        <v>1211.8499999999999</v>
      </c>
      <c r="F112" s="4">
        <v>1200.9000000000001</v>
      </c>
      <c r="H112" s="10">
        <f t="shared" si="1"/>
        <v>-9.0357717539297916E-3</v>
      </c>
    </row>
    <row r="113" spans="1:8">
      <c r="A113" s="2">
        <v>45587</v>
      </c>
      <c r="B113" s="4">
        <v>1256</v>
      </c>
      <c r="C113" s="4">
        <v>1310</v>
      </c>
      <c r="D113" s="4">
        <v>1194.75</v>
      </c>
      <c r="E113" s="4">
        <v>1259.9000000000001</v>
      </c>
      <c r="F113" s="4">
        <v>1211.8499999999999</v>
      </c>
      <c r="H113" s="10">
        <f t="shared" si="1"/>
        <v>-3.8137947456147452E-2</v>
      </c>
    </row>
    <row r="114" spans="1:8">
      <c r="A114" s="2">
        <v>45586</v>
      </c>
      <c r="B114" s="4">
        <v>1285</v>
      </c>
      <c r="C114" s="4">
        <v>1304.95</v>
      </c>
      <c r="D114" s="4">
        <v>1250.8499999999999</v>
      </c>
      <c r="E114" s="4">
        <v>1277.25</v>
      </c>
      <c r="F114" s="4">
        <v>1259.9000000000001</v>
      </c>
      <c r="H114" s="10">
        <f t="shared" si="1"/>
        <v>-1.3583871599138703E-2</v>
      </c>
    </row>
    <row r="115" spans="1:8">
      <c r="A115" s="2">
        <v>45583</v>
      </c>
      <c r="B115" s="4">
        <v>1284.05</v>
      </c>
      <c r="C115" s="4">
        <v>1291.95</v>
      </c>
      <c r="D115" s="4">
        <v>1246.0999999999999</v>
      </c>
      <c r="E115" s="4">
        <v>1282.5999999999999</v>
      </c>
      <c r="F115" s="4">
        <v>1277.25</v>
      </c>
      <c r="H115" s="10">
        <f t="shared" si="1"/>
        <v>-4.1712147200997267E-3</v>
      </c>
    </row>
    <row r="116" spans="1:8">
      <c r="A116" s="2">
        <v>45582</v>
      </c>
      <c r="B116" s="4">
        <v>1322.75</v>
      </c>
      <c r="C116" s="4">
        <v>1332</v>
      </c>
      <c r="D116" s="4">
        <v>1277</v>
      </c>
      <c r="E116" s="4">
        <v>1322.75</v>
      </c>
      <c r="F116" s="4">
        <v>1282.5999999999999</v>
      </c>
      <c r="H116" s="10">
        <f t="shared" si="1"/>
        <v>-3.0353430353430421E-2</v>
      </c>
    </row>
    <row r="117" spans="1:8">
      <c r="A117" s="2">
        <v>45581</v>
      </c>
      <c r="B117" s="4">
        <v>1319.8</v>
      </c>
      <c r="C117" s="4">
        <v>1333</v>
      </c>
      <c r="D117" s="4">
        <v>1297.8</v>
      </c>
      <c r="E117" s="4">
        <v>1323.3</v>
      </c>
      <c r="F117" s="4">
        <v>1322.75</v>
      </c>
      <c r="H117" s="10">
        <f t="shared" si="1"/>
        <v>-4.1562759767245109E-4</v>
      </c>
    </row>
    <row r="118" spans="1:8">
      <c r="A118" s="2">
        <v>45580</v>
      </c>
      <c r="B118" s="4">
        <v>1280</v>
      </c>
      <c r="C118" s="4">
        <v>1327.75</v>
      </c>
      <c r="D118" s="4">
        <v>1262</v>
      </c>
      <c r="E118" s="4">
        <v>1277.45</v>
      </c>
      <c r="F118" s="4">
        <v>1323.3</v>
      </c>
      <c r="H118" s="10">
        <f t="shared" si="1"/>
        <v>3.5891815726642851E-2</v>
      </c>
    </row>
    <row r="119" spans="1:8">
      <c r="A119" s="2">
        <v>45579</v>
      </c>
      <c r="B119" s="4">
        <v>1287</v>
      </c>
      <c r="C119" s="4">
        <v>1295.3</v>
      </c>
      <c r="D119" s="4">
        <v>1265.25</v>
      </c>
      <c r="E119" s="4">
        <v>1294.75</v>
      </c>
      <c r="F119" s="4">
        <v>1277.45</v>
      </c>
      <c r="H119" s="10">
        <f t="shared" si="1"/>
        <v>-1.336165282873138E-2</v>
      </c>
    </row>
    <row r="120" spans="1:8">
      <c r="A120" s="2">
        <v>45576</v>
      </c>
      <c r="B120" s="4">
        <v>1308.8499999999999</v>
      </c>
      <c r="C120" s="4">
        <v>1317</v>
      </c>
      <c r="D120" s="4">
        <v>1283.7</v>
      </c>
      <c r="E120" s="4">
        <v>1303.55</v>
      </c>
      <c r="F120" s="4">
        <v>1294.75</v>
      </c>
      <c r="H120" s="10">
        <f t="shared" si="1"/>
        <v>-6.7507959034942694E-3</v>
      </c>
    </row>
    <row r="121" spans="1:8">
      <c r="A121" s="2">
        <v>45575</v>
      </c>
      <c r="B121" s="4">
        <v>1359</v>
      </c>
      <c r="C121" s="4">
        <v>1375.5</v>
      </c>
      <c r="D121" s="4">
        <v>1298</v>
      </c>
      <c r="E121" s="4">
        <v>1346.1</v>
      </c>
      <c r="F121" s="4">
        <v>1303.55</v>
      </c>
      <c r="H121" s="10">
        <f t="shared" si="1"/>
        <v>-3.160983582200428E-2</v>
      </c>
    </row>
    <row r="122" spans="1:8">
      <c r="A122" s="2">
        <v>45574</v>
      </c>
      <c r="B122" s="4">
        <v>1343.65</v>
      </c>
      <c r="C122" s="4">
        <v>1385.05</v>
      </c>
      <c r="D122" s="4">
        <v>1337.05</v>
      </c>
      <c r="E122" s="4">
        <v>1343.65</v>
      </c>
      <c r="F122" s="4">
        <v>1346.1</v>
      </c>
      <c r="H122" s="10">
        <f t="shared" si="1"/>
        <v>1.8233915082051264E-3</v>
      </c>
    </row>
    <row r="123" spans="1:8">
      <c r="A123" s="2">
        <v>45573</v>
      </c>
      <c r="B123" s="4">
        <v>1389</v>
      </c>
      <c r="C123" s="4">
        <v>1410</v>
      </c>
      <c r="D123" s="4">
        <v>1333.05</v>
      </c>
      <c r="E123" s="4">
        <v>1378.75</v>
      </c>
      <c r="F123" s="4">
        <v>1343.65</v>
      </c>
      <c r="H123" s="10">
        <f t="shared" si="1"/>
        <v>-2.545784224841335E-2</v>
      </c>
    </row>
    <row r="124" spans="1:8">
      <c r="A124" s="2">
        <v>45572</v>
      </c>
      <c r="B124" s="4">
        <v>1376.9</v>
      </c>
      <c r="C124" s="4">
        <v>1400.9</v>
      </c>
      <c r="D124" s="4">
        <v>1355.9</v>
      </c>
      <c r="E124" s="4">
        <v>1370</v>
      </c>
      <c r="F124" s="4">
        <v>1378.75</v>
      </c>
      <c r="H124" s="10">
        <f t="shared" si="1"/>
        <v>6.3868613138686131E-3</v>
      </c>
    </row>
    <row r="125" spans="1:8">
      <c r="A125" s="2">
        <v>45569</v>
      </c>
      <c r="B125" s="4">
        <v>1368.95</v>
      </c>
      <c r="C125" s="4">
        <v>1419.7</v>
      </c>
      <c r="D125" s="4">
        <v>1357.5</v>
      </c>
      <c r="E125" s="4">
        <v>1369.7</v>
      </c>
      <c r="F125" s="4">
        <v>1370</v>
      </c>
      <c r="H125" s="10">
        <f t="shared" si="1"/>
        <v>2.190260641015949E-4</v>
      </c>
    </row>
    <row r="126" spans="1:8">
      <c r="A126" s="2">
        <v>45568</v>
      </c>
      <c r="B126" s="4">
        <v>1400</v>
      </c>
      <c r="C126" s="4">
        <v>1411.3</v>
      </c>
      <c r="D126" s="4">
        <v>1365</v>
      </c>
      <c r="E126" s="4">
        <v>1431.15</v>
      </c>
      <c r="F126" s="4">
        <v>1369.7</v>
      </c>
      <c r="H126" s="10">
        <f t="shared" si="1"/>
        <v>-4.293749781644135E-2</v>
      </c>
    </row>
    <row r="127" spans="1:8">
      <c r="A127" s="2">
        <v>45566</v>
      </c>
      <c r="B127" s="4">
        <v>1424</v>
      </c>
      <c r="C127" s="4">
        <v>1437</v>
      </c>
      <c r="D127" s="4">
        <v>1404</v>
      </c>
      <c r="E127" s="4">
        <v>1417.05</v>
      </c>
      <c r="F127" s="4">
        <v>1431.15</v>
      </c>
      <c r="H127" s="10">
        <f t="shared" si="1"/>
        <v>9.9502487562190024E-3</v>
      </c>
    </row>
    <row r="128" spans="1:8">
      <c r="A128" s="2">
        <v>45565</v>
      </c>
      <c r="B128" s="4">
        <v>1400</v>
      </c>
      <c r="C128" s="4">
        <v>1439.95</v>
      </c>
      <c r="D128" s="4">
        <v>1383.9</v>
      </c>
      <c r="E128" s="4">
        <v>1414.5</v>
      </c>
      <c r="F128" s="4">
        <v>1417.05</v>
      </c>
      <c r="H128" s="10">
        <f t="shared" si="1"/>
        <v>1.8027571580063306E-3</v>
      </c>
    </row>
    <row r="129" spans="1:8">
      <c r="A129" s="2">
        <v>45562</v>
      </c>
      <c r="B129" s="4">
        <v>1345</v>
      </c>
      <c r="C129" s="4">
        <v>1448.7</v>
      </c>
      <c r="D129" s="4">
        <v>1340.45</v>
      </c>
      <c r="E129" s="4">
        <v>1344.75</v>
      </c>
      <c r="F129" s="4">
        <v>1414.5</v>
      </c>
      <c r="H129" s="10">
        <f t="shared" si="1"/>
        <v>5.1868377021751254E-2</v>
      </c>
    </row>
    <row r="130" spans="1:8">
      <c r="A130" s="2">
        <v>45561</v>
      </c>
      <c r="B130" s="4">
        <v>1345.3</v>
      </c>
      <c r="C130" s="4">
        <v>1352.75</v>
      </c>
      <c r="D130" s="4">
        <v>1330</v>
      </c>
      <c r="E130" s="4">
        <v>1333.75</v>
      </c>
      <c r="F130" s="4">
        <v>1344.75</v>
      </c>
      <c r="H130" s="10">
        <f t="shared" si="1"/>
        <v>8.2474226804123713E-3</v>
      </c>
    </row>
    <row r="131" spans="1:8">
      <c r="A131" s="2">
        <v>45560</v>
      </c>
      <c r="B131" s="4">
        <v>1321.05</v>
      </c>
      <c r="C131" s="4">
        <v>1361.7</v>
      </c>
      <c r="D131" s="4">
        <v>1318.65</v>
      </c>
      <c r="E131" s="4">
        <v>1326.2</v>
      </c>
      <c r="F131" s="4">
        <v>1333.75</v>
      </c>
      <c r="H131" s="10">
        <f t="shared" si="1"/>
        <v>5.6929573216709054E-3</v>
      </c>
    </row>
    <row r="132" spans="1:8">
      <c r="A132" s="2">
        <v>45559</v>
      </c>
      <c r="B132" s="4">
        <v>1333.3</v>
      </c>
      <c r="C132" s="4">
        <v>1338.8</v>
      </c>
      <c r="D132" s="4">
        <v>1318.35</v>
      </c>
      <c r="E132" s="4">
        <v>1333.6</v>
      </c>
      <c r="F132" s="4">
        <v>1326.2</v>
      </c>
      <c r="H132" s="10">
        <f t="shared" si="1"/>
        <v>-5.5488902219555068E-3</v>
      </c>
    </row>
    <row r="133" spans="1:8">
      <c r="A133" s="2">
        <v>45558</v>
      </c>
      <c r="B133" s="4">
        <v>1343.25</v>
      </c>
      <c r="C133" s="4">
        <v>1352.45</v>
      </c>
      <c r="D133" s="4">
        <v>1324.8</v>
      </c>
      <c r="E133" s="4">
        <v>1332.45</v>
      </c>
      <c r="F133" s="4">
        <v>1333.6</v>
      </c>
      <c r="H133" s="10">
        <f t="shared" ref="H133:H196" si="2">(F133-E133)/E133</f>
        <v>8.6307178505749826E-4</v>
      </c>
    </row>
    <row r="134" spans="1:8">
      <c r="A134" s="2">
        <v>45555</v>
      </c>
      <c r="B134" s="4">
        <v>1342.9</v>
      </c>
      <c r="C134" s="4">
        <v>1376</v>
      </c>
      <c r="D134" s="4">
        <v>1325</v>
      </c>
      <c r="E134" s="4">
        <v>1327.9</v>
      </c>
      <c r="F134" s="4">
        <v>1332.45</v>
      </c>
      <c r="H134" s="10">
        <f t="shared" si="2"/>
        <v>3.4264628360568977E-3</v>
      </c>
    </row>
    <row r="135" spans="1:8">
      <c r="A135" s="2">
        <v>45554</v>
      </c>
      <c r="B135" s="4">
        <v>1365</v>
      </c>
      <c r="C135" s="4">
        <v>1369</v>
      </c>
      <c r="D135" s="4">
        <v>1318.35</v>
      </c>
      <c r="E135" s="4">
        <v>1361.55</v>
      </c>
      <c r="F135" s="4">
        <v>1327.9</v>
      </c>
      <c r="H135" s="10">
        <f t="shared" si="2"/>
        <v>-2.471447982079238E-2</v>
      </c>
    </row>
    <row r="136" spans="1:8">
      <c r="A136" s="2">
        <v>45553</v>
      </c>
      <c r="B136" s="4">
        <v>1364</v>
      </c>
      <c r="C136" s="4">
        <v>1369.2</v>
      </c>
      <c r="D136" s="4">
        <v>1349.75</v>
      </c>
      <c r="E136" s="4">
        <v>1354.45</v>
      </c>
      <c r="F136" s="4">
        <v>1361.55</v>
      </c>
      <c r="H136" s="10">
        <f t="shared" si="2"/>
        <v>5.2419801395399675E-3</v>
      </c>
    </row>
    <row r="137" spans="1:8">
      <c r="A137" s="2">
        <v>45552</v>
      </c>
      <c r="B137" s="4">
        <v>1351.2</v>
      </c>
      <c r="C137" s="4">
        <v>1366</v>
      </c>
      <c r="D137" s="4">
        <v>1329.95</v>
      </c>
      <c r="E137" s="4">
        <v>1351.2</v>
      </c>
      <c r="F137" s="4">
        <v>1354.45</v>
      </c>
      <c r="H137" s="10">
        <f t="shared" si="2"/>
        <v>2.405269390171699E-3</v>
      </c>
    </row>
    <row r="138" spans="1:8">
      <c r="A138" s="2">
        <v>45551</v>
      </c>
      <c r="B138" s="4">
        <v>1342</v>
      </c>
      <c r="C138" s="4">
        <v>1355</v>
      </c>
      <c r="D138" s="4">
        <v>1336.05</v>
      </c>
      <c r="E138" s="4">
        <v>1335.55</v>
      </c>
      <c r="F138" s="4">
        <v>1351.2</v>
      </c>
      <c r="H138" s="10">
        <f t="shared" si="2"/>
        <v>1.171801879375545E-2</v>
      </c>
    </row>
    <row r="139" spans="1:8">
      <c r="A139" s="2">
        <v>45548</v>
      </c>
      <c r="B139" s="4">
        <v>1324</v>
      </c>
      <c r="C139" s="4">
        <v>1349</v>
      </c>
      <c r="D139" s="4">
        <v>1324</v>
      </c>
      <c r="E139" s="4">
        <v>1320.2</v>
      </c>
      <c r="F139" s="4">
        <v>1335.55</v>
      </c>
      <c r="H139" s="10">
        <f t="shared" si="2"/>
        <v>1.1627026208150211E-2</v>
      </c>
    </row>
    <row r="140" spans="1:8">
      <c r="A140" s="2">
        <v>45547</v>
      </c>
      <c r="B140" s="4">
        <v>1320</v>
      </c>
      <c r="C140" s="4">
        <v>1324.3</v>
      </c>
      <c r="D140" s="4">
        <v>1308.9000000000001</v>
      </c>
      <c r="E140" s="4">
        <v>1320.4</v>
      </c>
      <c r="F140" s="4">
        <v>1320.2</v>
      </c>
      <c r="H140" s="10">
        <f t="shared" si="2"/>
        <v>-1.5146925174193082E-4</v>
      </c>
    </row>
    <row r="141" spans="1:8">
      <c r="A141" s="2">
        <v>45546</v>
      </c>
      <c r="B141" s="4">
        <v>1317.85</v>
      </c>
      <c r="C141" s="4">
        <v>1325.7</v>
      </c>
      <c r="D141" s="4">
        <v>1310.85</v>
      </c>
      <c r="E141" s="4">
        <v>1317.85</v>
      </c>
      <c r="F141" s="4">
        <v>1320.4</v>
      </c>
      <c r="H141" s="10">
        <f t="shared" si="2"/>
        <v>1.9349698372350284E-3</v>
      </c>
    </row>
    <row r="142" spans="1:8">
      <c r="A142" s="2">
        <v>45545</v>
      </c>
      <c r="B142" s="4">
        <v>1315</v>
      </c>
      <c r="C142" s="4">
        <v>1325.55</v>
      </c>
      <c r="D142" s="4">
        <v>1303.9000000000001</v>
      </c>
      <c r="E142" s="4">
        <v>1312</v>
      </c>
      <c r="F142" s="4">
        <v>1317.85</v>
      </c>
      <c r="H142" s="10">
        <f t="shared" si="2"/>
        <v>4.4588414634145652E-3</v>
      </c>
    </row>
    <row r="143" spans="1:8">
      <c r="A143" s="2">
        <v>45544</v>
      </c>
      <c r="B143" s="4">
        <v>1312.55</v>
      </c>
      <c r="C143" s="4">
        <v>1318</v>
      </c>
      <c r="D143" s="4">
        <v>1297.5999999999999</v>
      </c>
      <c r="E143" s="4">
        <v>1318.75</v>
      </c>
      <c r="F143" s="4">
        <v>1312</v>
      </c>
      <c r="H143" s="10">
        <f t="shared" si="2"/>
        <v>-5.1184834123222745E-3</v>
      </c>
    </row>
    <row r="144" spans="1:8">
      <c r="A144" s="2">
        <v>45541</v>
      </c>
      <c r="B144" s="4">
        <v>1306.25</v>
      </c>
      <c r="C144" s="4">
        <v>1333</v>
      </c>
      <c r="D144" s="4">
        <v>1304.45</v>
      </c>
      <c r="E144" s="4">
        <v>1302.05</v>
      </c>
      <c r="F144" s="4">
        <v>1318.75</v>
      </c>
      <c r="H144" s="10">
        <f t="shared" si="2"/>
        <v>1.2825928343765636E-2</v>
      </c>
    </row>
    <row r="145" spans="1:8">
      <c r="A145" s="2">
        <v>45540</v>
      </c>
      <c r="B145" s="4">
        <v>1270</v>
      </c>
      <c r="C145" s="4">
        <v>1306</v>
      </c>
      <c r="D145" s="4">
        <v>1265.5999999999999</v>
      </c>
      <c r="E145" s="4">
        <v>1268.45</v>
      </c>
      <c r="F145" s="4">
        <v>1302.05</v>
      </c>
      <c r="H145" s="10">
        <f t="shared" si="2"/>
        <v>2.648902203476677E-2</v>
      </c>
    </row>
    <row r="146" spans="1:8">
      <c r="A146" s="2">
        <v>45539</v>
      </c>
      <c r="B146" s="4">
        <v>1226.4000000000001</v>
      </c>
      <c r="C146" s="4">
        <v>1272</v>
      </c>
      <c r="D146" s="4">
        <v>1226.4000000000001</v>
      </c>
      <c r="E146" s="4">
        <v>1245.0999999999999</v>
      </c>
      <c r="F146" s="4">
        <v>1268.45</v>
      </c>
      <c r="H146" s="10">
        <f t="shared" si="2"/>
        <v>1.8753513773994167E-2</v>
      </c>
    </row>
    <row r="147" spans="1:8">
      <c r="A147" s="2">
        <v>45538</v>
      </c>
      <c r="B147" s="4">
        <v>1280</v>
      </c>
      <c r="C147" s="4">
        <v>1302</v>
      </c>
      <c r="D147" s="4">
        <v>1239</v>
      </c>
      <c r="E147" s="4">
        <v>1241.0999999999999</v>
      </c>
      <c r="F147" s="4">
        <v>1245.0999999999999</v>
      </c>
      <c r="H147" s="10">
        <f t="shared" si="2"/>
        <v>3.2229473853839338E-3</v>
      </c>
    </row>
    <row r="148" spans="1:8">
      <c r="A148" s="2">
        <v>45537</v>
      </c>
      <c r="B148" s="4">
        <v>1220</v>
      </c>
      <c r="C148" s="4">
        <v>1269</v>
      </c>
      <c r="D148" s="4">
        <v>1207.3499999999999</v>
      </c>
      <c r="E148" s="4">
        <v>1204.55</v>
      </c>
      <c r="F148" s="4">
        <v>1241.0999999999999</v>
      </c>
      <c r="H148" s="10">
        <f t="shared" si="2"/>
        <v>3.0343281723465159E-2</v>
      </c>
    </row>
    <row r="149" spans="1:8">
      <c r="A149" s="2">
        <v>45534</v>
      </c>
      <c r="B149" s="4">
        <v>1216.8</v>
      </c>
      <c r="C149" s="4">
        <v>1227.7</v>
      </c>
      <c r="D149" s="4">
        <v>1193.7</v>
      </c>
      <c r="E149" s="4">
        <v>1202.2</v>
      </c>
      <c r="F149" s="4">
        <v>1204.55</v>
      </c>
      <c r="H149" s="10">
        <f t="shared" si="2"/>
        <v>1.9547496256861661E-3</v>
      </c>
    </row>
    <row r="150" spans="1:8">
      <c r="A150" s="2">
        <v>45533</v>
      </c>
      <c r="B150" s="4">
        <v>1170</v>
      </c>
      <c r="C150" s="4">
        <v>1212</v>
      </c>
      <c r="D150" s="4">
        <v>1166.3499999999999</v>
      </c>
      <c r="E150" s="4">
        <v>1173.5999999999999</v>
      </c>
      <c r="F150" s="4">
        <v>1202.2</v>
      </c>
      <c r="H150" s="10">
        <f t="shared" si="2"/>
        <v>2.436946148602602E-2</v>
      </c>
    </row>
    <row r="151" spans="1:8">
      <c r="A151" s="2">
        <v>45532</v>
      </c>
      <c r="B151" s="4">
        <v>1196.5</v>
      </c>
      <c r="C151" s="4">
        <v>1197.6500000000001</v>
      </c>
      <c r="D151" s="4">
        <v>1161.0999999999999</v>
      </c>
      <c r="E151" s="4">
        <v>1188.4000000000001</v>
      </c>
      <c r="F151" s="4">
        <v>1173.5999999999999</v>
      </c>
      <c r="H151" s="10">
        <f t="shared" si="2"/>
        <v>-1.2453719286435695E-2</v>
      </c>
    </row>
    <row r="152" spans="1:8">
      <c r="A152" s="2">
        <v>45531</v>
      </c>
      <c r="B152" s="4">
        <v>1153</v>
      </c>
      <c r="C152" s="4">
        <v>1193</v>
      </c>
      <c r="D152" s="4">
        <v>1147.05</v>
      </c>
      <c r="E152" s="4">
        <v>1154.3499999999999</v>
      </c>
      <c r="F152" s="4">
        <v>1188.4000000000001</v>
      </c>
      <c r="H152" s="10">
        <f t="shared" si="2"/>
        <v>2.949711959111204E-2</v>
      </c>
    </row>
    <row r="153" spans="1:8">
      <c r="A153" s="2">
        <v>45530</v>
      </c>
      <c r="B153" s="4">
        <v>1146.55</v>
      </c>
      <c r="C153" s="4">
        <v>1170.8</v>
      </c>
      <c r="D153" s="4">
        <v>1124.1500000000001</v>
      </c>
      <c r="E153" s="4">
        <v>1130.8499999999999</v>
      </c>
      <c r="F153" s="4">
        <v>1154.3499999999999</v>
      </c>
      <c r="H153" s="10">
        <f t="shared" si="2"/>
        <v>2.0780828580271478E-2</v>
      </c>
    </row>
    <row r="154" spans="1:8">
      <c r="A154" s="2">
        <v>45527</v>
      </c>
      <c r="B154" s="4">
        <v>1150.05</v>
      </c>
      <c r="C154" s="4">
        <v>1165.6500000000001</v>
      </c>
      <c r="D154" s="4">
        <v>1121.2</v>
      </c>
      <c r="E154" s="4">
        <v>1150.8</v>
      </c>
      <c r="F154" s="4">
        <v>1130.8499999999999</v>
      </c>
      <c r="H154" s="10">
        <f t="shared" si="2"/>
        <v>-1.7335766423357706E-2</v>
      </c>
    </row>
    <row r="155" spans="1:8">
      <c r="A155" s="2">
        <v>45526</v>
      </c>
      <c r="B155" s="4">
        <v>1159</v>
      </c>
      <c r="C155" s="4">
        <v>1164.45</v>
      </c>
      <c r="D155" s="4">
        <v>1142</v>
      </c>
      <c r="E155" s="4">
        <v>1152.8499999999999</v>
      </c>
      <c r="F155" s="4">
        <v>1150.8</v>
      </c>
      <c r="H155" s="10">
        <f t="shared" si="2"/>
        <v>-1.7782018475950511E-3</v>
      </c>
    </row>
    <row r="156" spans="1:8">
      <c r="A156" s="2">
        <v>45525</v>
      </c>
      <c r="B156" s="4">
        <v>1170.0999999999999</v>
      </c>
      <c r="C156" s="4">
        <v>1196.25</v>
      </c>
      <c r="D156" s="4">
        <v>1146.9000000000001</v>
      </c>
      <c r="E156" s="4">
        <v>1169.05</v>
      </c>
      <c r="F156" s="4">
        <v>1152.8499999999999</v>
      </c>
      <c r="H156" s="10">
        <f t="shared" si="2"/>
        <v>-1.3857405585732044E-2</v>
      </c>
    </row>
    <row r="157" spans="1:8">
      <c r="A157" s="2">
        <v>45524</v>
      </c>
      <c r="B157" s="4">
        <v>1149.95</v>
      </c>
      <c r="C157" s="4">
        <v>1179.8499999999999</v>
      </c>
      <c r="D157" s="4">
        <v>1140.8</v>
      </c>
      <c r="E157" s="4">
        <v>1146.7</v>
      </c>
      <c r="F157" s="4">
        <v>1169.05</v>
      </c>
      <c r="H157" s="10">
        <f t="shared" si="2"/>
        <v>1.9490712479288314E-2</v>
      </c>
    </row>
    <row r="158" spans="1:8">
      <c r="A158" s="2">
        <v>45523</v>
      </c>
      <c r="B158" s="4">
        <v>1162</v>
      </c>
      <c r="C158" s="4">
        <v>1162</v>
      </c>
      <c r="D158" s="4">
        <v>1141.0999999999999</v>
      </c>
      <c r="E158" s="4">
        <v>1152.3499999999999</v>
      </c>
      <c r="F158" s="4">
        <v>1146.7</v>
      </c>
      <c r="H158" s="10">
        <f t="shared" si="2"/>
        <v>-4.9030242547835846E-3</v>
      </c>
    </row>
    <row r="159" spans="1:8">
      <c r="A159" s="2">
        <v>45520</v>
      </c>
      <c r="B159" s="4">
        <v>1144.05</v>
      </c>
      <c r="C159" s="4">
        <v>1162.45</v>
      </c>
      <c r="D159" s="4">
        <v>1115</v>
      </c>
      <c r="E159" s="4">
        <v>1121.5</v>
      </c>
      <c r="F159" s="4">
        <v>1152.3499999999999</v>
      </c>
      <c r="H159" s="10">
        <f t="shared" si="2"/>
        <v>2.7507802050824707E-2</v>
      </c>
    </row>
    <row r="160" spans="1:8">
      <c r="A160" s="2">
        <v>45518</v>
      </c>
      <c r="B160" s="4">
        <v>1136.75</v>
      </c>
      <c r="C160" s="4">
        <v>1136.8</v>
      </c>
      <c r="D160" s="4">
        <v>1112</v>
      </c>
      <c r="E160" s="4">
        <v>1120.8</v>
      </c>
      <c r="F160" s="4">
        <v>1121.5</v>
      </c>
      <c r="H160" s="10">
        <f t="shared" si="2"/>
        <v>6.2455389007855591E-4</v>
      </c>
    </row>
    <row r="161" spans="1:8">
      <c r="A161" s="2">
        <v>45517</v>
      </c>
      <c r="B161" s="4">
        <v>1139.1500000000001</v>
      </c>
      <c r="C161" s="4">
        <v>1140</v>
      </c>
      <c r="D161" s="4">
        <v>1105.8</v>
      </c>
      <c r="E161" s="4">
        <v>1139.1500000000001</v>
      </c>
      <c r="F161" s="4">
        <v>1120.8</v>
      </c>
      <c r="H161" s="10">
        <f t="shared" si="2"/>
        <v>-1.6108501953210844E-2</v>
      </c>
    </row>
    <row r="162" spans="1:8">
      <c r="A162" s="2">
        <v>45516</v>
      </c>
      <c r="B162" s="4">
        <v>1100</v>
      </c>
      <c r="C162" s="4">
        <v>1141.6500000000001</v>
      </c>
      <c r="D162" s="4">
        <v>1089.8</v>
      </c>
      <c r="E162" s="4">
        <v>1125.4000000000001</v>
      </c>
      <c r="F162" s="4">
        <v>1139.1500000000001</v>
      </c>
      <c r="H162" s="10">
        <f t="shared" si="2"/>
        <v>1.2217878087791007E-2</v>
      </c>
    </row>
    <row r="163" spans="1:8">
      <c r="A163" s="2">
        <v>45513</v>
      </c>
      <c r="B163" s="4">
        <v>1176.0999999999999</v>
      </c>
      <c r="C163" s="4">
        <v>1176.95</v>
      </c>
      <c r="D163" s="4">
        <v>1119.45</v>
      </c>
      <c r="E163" s="4">
        <v>1159.6500000000001</v>
      </c>
      <c r="F163" s="4">
        <v>1125.4000000000001</v>
      </c>
      <c r="H163" s="10">
        <f t="shared" si="2"/>
        <v>-2.9534773423015564E-2</v>
      </c>
    </row>
    <row r="164" spans="1:8">
      <c r="A164" s="2">
        <v>45512</v>
      </c>
      <c r="B164" s="4">
        <v>1180</v>
      </c>
      <c r="C164" s="4">
        <v>1198.9000000000001</v>
      </c>
      <c r="D164" s="4">
        <v>1153.7</v>
      </c>
      <c r="E164" s="4">
        <v>1175.5999999999999</v>
      </c>
      <c r="F164" s="4">
        <v>1159.6500000000001</v>
      </c>
      <c r="H164" s="10">
        <f t="shared" si="2"/>
        <v>-1.356753997958474E-2</v>
      </c>
    </row>
    <row r="165" spans="1:8">
      <c r="A165" s="2">
        <v>45511</v>
      </c>
      <c r="B165" s="4">
        <v>1174.1500000000001</v>
      </c>
      <c r="C165" s="4">
        <v>1192.1500000000001</v>
      </c>
      <c r="D165" s="4">
        <v>1139.8499999999999</v>
      </c>
      <c r="E165" s="4">
        <v>1157.45</v>
      </c>
      <c r="F165" s="4">
        <v>1175.5999999999999</v>
      </c>
      <c r="H165" s="10">
        <f t="shared" si="2"/>
        <v>1.568102293835575E-2</v>
      </c>
    </row>
    <row r="166" spans="1:8">
      <c r="A166" s="2">
        <v>45510</v>
      </c>
      <c r="B166" s="4">
        <v>1205.3499999999999</v>
      </c>
      <c r="C166" s="4">
        <v>1247</v>
      </c>
      <c r="D166" s="4">
        <v>1150.05</v>
      </c>
      <c r="E166" s="4">
        <v>1124.25</v>
      </c>
      <c r="F166" s="4">
        <v>1157.45</v>
      </c>
      <c r="H166" s="10">
        <f t="shared" si="2"/>
        <v>2.9530798309984476E-2</v>
      </c>
    </row>
    <row r="167" spans="1:8">
      <c r="A167" s="2">
        <v>45509</v>
      </c>
      <c r="B167" s="4">
        <v>1170</v>
      </c>
      <c r="C167" s="4">
        <v>1174.5999999999999</v>
      </c>
      <c r="D167" s="4">
        <v>1114</v>
      </c>
      <c r="E167" s="4">
        <v>1198.55</v>
      </c>
      <c r="F167" s="4">
        <v>1124.25</v>
      </c>
      <c r="H167" s="10">
        <f t="shared" si="2"/>
        <v>-6.1991573150890621E-2</v>
      </c>
    </row>
    <row r="168" spans="1:8">
      <c r="A168" s="2">
        <v>45506</v>
      </c>
      <c r="B168" s="4">
        <v>1245.05</v>
      </c>
      <c r="C168" s="4">
        <v>1245.05</v>
      </c>
      <c r="D168" s="4">
        <v>1195</v>
      </c>
      <c r="E168" s="4">
        <v>1258</v>
      </c>
      <c r="F168" s="4">
        <v>1198.55</v>
      </c>
      <c r="H168" s="10">
        <f t="shared" si="2"/>
        <v>-4.725755166931641E-2</v>
      </c>
    </row>
    <row r="169" spans="1:8">
      <c r="A169" s="2">
        <v>45505</v>
      </c>
      <c r="B169" s="4">
        <v>1260.3</v>
      </c>
      <c r="C169" s="4">
        <v>1282.8499999999999</v>
      </c>
      <c r="D169" s="4">
        <v>1245.5999999999999</v>
      </c>
      <c r="E169" s="4">
        <v>1257.7</v>
      </c>
      <c r="F169" s="4">
        <v>1258</v>
      </c>
      <c r="H169" s="10">
        <f t="shared" si="2"/>
        <v>2.3853065118864159E-4</v>
      </c>
    </row>
    <row r="170" spans="1:8">
      <c r="A170" s="2">
        <v>45504</v>
      </c>
      <c r="B170" s="4">
        <v>1281.95</v>
      </c>
      <c r="C170" s="4">
        <v>1283.7</v>
      </c>
      <c r="D170" s="4">
        <v>1252.2</v>
      </c>
      <c r="E170" s="4">
        <v>1275.5999999999999</v>
      </c>
      <c r="F170" s="4">
        <v>1257.7</v>
      </c>
      <c r="H170" s="10">
        <f t="shared" si="2"/>
        <v>-1.4032612104107766E-2</v>
      </c>
    </row>
    <row r="171" spans="1:8">
      <c r="A171" s="2">
        <v>45503</v>
      </c>
      <c r="B171" s="4">
        <v>1285.95</v>
      </c>
      <c r="C171" s="4">
        <v>1312.95</v>
      </c>
      <c r="D171" s="4">
        <v>1271.5</v>
      </c>
      <c r="E171" s="4">
        <v>1274.8</v>
      </c>
      <c r="F171" s="4">
        <v>1275.5999999999999</v>
      </c>
      <c r="H171" s="10">
        <f t="shared" si="2"/>
        <v>6.2754941951675134E-4</v>
      </c>
    </row>
    <row r="172" spans="1:8">
      <c r="A172" s="2">
        <v>45502</v>
      </c>
      <c r="B172" s="4">
        <v>1255.4000000000001</v>
      </c>
      <c r="C172" s="4">
        <v>1290.8</v>
      </c>
      <c r="D172" s="4">
        <v>1255.4000000000001</v>
      </c>
      <c r="E172" s="4">
        <v>1251.3</v>
      </c>
      <c r="F172" s="4">
        <v>1274.8</v>
      </c>
      <c r="H172" s="10">
        <f t="shared" si="2"/>
        <v>1.8780468312954528E-2</v>
      </c>
    </row>
    <row r="173" spans="1:8">
      <c r="A173" s="2">
        <v>45499</v>
      </c>
      <c r="B173" s="4">
        <v>1218.5</v>
      </c>
      <c r="C173" s="4">
        <v>1258.8499999999999</v>
      </c>
      <c r="D173" s="4">
        <v>1217.3</v>
      </c>
      <c r="E173" s="4">
        <v>1218.5</v>
      </c>
      <c r="F173" s="4">
        <v>1251.3</v>
      </c>
      <c r="H173" s="10">
        <f t="shared" si="2"/>
        <v>2.6918342224045922E-2</v>
      </c>
    </row>
    <row r="174" spans="1:8">
      <c r="A174" s="2">
        <v>45498</v>
      </c>
      <c r="B174" s="4">
        <v>1184.0999999999999</v>
      </c>
      <c r="C174" s="4">
        <v>1240.8</v>
      </c>
      <c r="D174" s="4">
        <v>1181.05</v>
      </c>
      <c r="E174" s="4">
        <v>1194.95</v>
      </c>
      <c r="F174" s="4">
        <v>1218.5</v>
      </c>
      <c r="H174" s="10">
        <f t="shared" si="2"/>
        <v>1.970793757060961E-2</v>
      </c>
    </row>
    <row r="175" spans="1:8">
      <c r="A175" s="2">
        <v>45497</v>
      </c>
      <c r="B175" s="4">
        <v>1205</v>
      </c>
      <c r="C175" s="4">
        <v>1217.5</v>
      </c>
      <c r="D175" s="4">
        <v>1174.05</v>
      </c>
      <c r="E175" s="4">
        <v>1204.45</v>
      </c>
      <c r="F175" s="4">
        <v>1194.95</v>
      </c>
      <c r="H175" s="10">
        <f t="shared" si="2"/>
        <v>-7.8874174934617462E-3</v>
      </c>
    </row>
    <row r="176" spans="1:8">
      <c r="A176" s="2">
        <v>45496</v>
      </c>
      <c r="B176" s="4">
        <v>1260.6500000000001</v>
      </c>
      <c r="C176" s="4">
        <v>1269.75</v>
      </c>
      <c r="D176" s="4">
        <v>1196.1500000000001</v>
      </c>
      <c r="E176" s="4">
        <v>1254.6500000000001</v>
      </c>
      <c r="F176" s="4">
        <v>1204.45</v>
      </c>
      <c r="H176" s="10">
        <f t="shared" si="2"/>
        <v>-4.0011158490415685E-2</v>
      </c>
    </row>
    <row r="177" spans="1:8">
      <c r="A177" s="2">
        <v>45495</v>
      </c>
      <c r="B177" s="4">
        <v>1251</v>
      </c>
      <c r="C177" s="4">
        <v>1263.55</v>
      </c>
      <c r="D177" s="4">
        <v>1232.4000000000001</v>
      </c>
      <c r="E177" s="4">
        <v>1269.95</v>
      </c>
      <c r="F177" s="4">
        <v>1254.6500000000001</v>
      </c>
      <c r="H177" s="10">
        <f t="shared" si="2"/>
        <v>-1.2047718414110755E-2</v>
      </c>
    </row>
    <row r="178" spans="1:8">
      <c r="A178" s="2">
        <v>45492</v>
      </c>
      <c r="B178" s="4">
        <v>1280.3499999999999</v>
      </c>
      <c r="C178" s="4">
        <v>1282</v>
      </c>
      <c r="D178" s="4">
        <v>1242.75</v>
      </c>
      <c r="E178" s="4">
        <v>1274.1500000000001</v>
      </c>
      <c r="F178" s="4">
        <v>1269.95</v>
      </c>
      <c r="H178" s="10">
        <f t="shared" si="2"/>
        <v>-3.2963151905192052E-3</v>
      </c>
    </row>
    <row r="179" spans="1:8">
      <c r="A179" s="2">
        <v>45491</v>
      </c>
      <c r="B179" s="4">
        <v>1300.05</v>
      </c>
      <c r="C179" s="4">
        <v>1319.25</v>
      </c>
      <c r="D179" s="4">
        <v>1263</v>
      </c>
      <c r="E179" s="4">
        <v>1297.55</v>
      </c>
      <c r="F179" s="4">
        <v>1274.1500000000001</v>
      </c>
      <c r="H179" s="10">
        <f t="shared" si="2"/>
        <v>-1.8033987129590277E-2</v>
      </c>
    </row>
    <row r="180" spans="1:8">
      <c r="A180" s="2">
        <v>45489</v>
      </c>
      <c r="B180" s="4">
        <v>1270</v>
      </c>
      <c r="C180" s="4">
        <v>1329.95</v>
      </c>
      <c r="D180" s="4">
        <v>1263</v>
      </c>
      <c r="E180" s="4">
        <v>1259.8</v>
      </c>
      <c r="F180" s="4">
        <v>1297.55</v>
      </c>
      <c r="H180" s="10">
        <f t="shared" si="2"/>
        <v>2.9965073821241469E-2</v>
      </c>
    </row>
    <row r="181" spans="1:8">
      <c r="A181" s="2">
        <v>45488</v>
      </c>
      <c r="B181" s="4">
        <v>1319</v>
      </c>
      <c r="C181" s="4">
        <v>1321.8</v>
      </c>
      <c r="D181" s="4">
        <v>1257</v>
      </c>
      <c r="E181" s="4">
        <v>1311.9</v>
      </c>
      <c r="F181" s="4">
        <v>1259.8</v>
      </c>
      <c r="H181" s="10">
        <f t="shared" si="2"/>
        <v>-3.9713392789084638E-2</v>
      </c>
    </row>
    <row r="182" spans="1:8">
      <c r="A182" s="2">
        <v>45485</v>
      </c>
      <c r="B182" s="4">
        <v>1320</v>
      </c>
      <c r="C182" s="4">
        <v>1327</v>
      </c>
      <c r="D182" s="4">
        <v>1292.5</v>
      </c>
      <c r="E182" s="4">
        <v>1300.5999999999999</v>
      </c>
      <c r="F182" s="4">
        <v>1311.9</v>
      </c>
      <c r="H182" s="10">
        <f t="shared" si="2"/>
        <v>8.6882977087499487E-3</v>
      </c>
    </row>
    <row r="183" spans="1:8">
      <c r="A183" s="2">
        <v>45484</v>
      </c>
      <c r="B183" s="4">
        <v>1348.35</v>
      </c>
      <c r="C183" s="4">
        <v>1355.1</v>
      </c>
      <c r="D183" s="4">
        <v>1290</v>
      </c>
      <c r="E183" s="4">
        <v>1348.35</v>
      </c>
      <c r="F183" s="4">
        <v>1300.5999999999999</v>
      </c>
      <c r="H183" s="10">
        <f t="shared" si="2"/>
        <v>-3.5413653724923055E-2</v>
      </c>
    </row>
    <row r="184" spans="1:8">
      <c r="A184" s="2">
        <v>45483</v>
      </c>
      <c r="B184" s="4">
        <v>1302</v>
      </c>
      <c r="C184" s="4">
        <v>1356.95</v>
      </c>
      <c r="D184" s="4">
        <v>1301.95</v>
      </c>
      <c r="E184" s="4">
        <v>1295.3</v>
      </c>
      <c r="F184" s="4">
        <v>1348.35</v>
      </c>
      <c r="H184" s="10">
        <f t="shared" si="2"/>
        <v>4.0955763143673246E-2</v>
      </c>
    </row>
    <row r="185" spans="1:8">
      <c r="A185" s="2">
        <v>45482</v>
      </c>
      <c r="B185" s="4">
        <v>1304.25</v>
      </c>
      <c r="C185" s="4">
        <v>1306.05</v>
      </c>
      <c r="D185" s="4">
        <v>1291.3</v>
      </c>
      <c r="E185" s="4">
        <v>1298.25</v>
      </c>
      <c r="F185" s="4">
        <v>1295.3</v>
      </c>
      <c r="H185" s="10">
        <f t="shared" si="2"/>
        <v>-2.2722896206432085E-3</v>
      </c>
    </row>
    <row r="186" spans="1:8">
      <c r="A186" s="2">
        <v>45481</v>
      </c>
      <c r="B186" s="4">
        <v>1344.45</v>
      </c>
      <c r="C186" s="4">
        <v>1350</v>
      </c>
      <c r="D186" s="4">
        <v>1295</v>
      </c>
      <c r="E186" s="4">
        <v>1344.45</v>
      </c>
      <c r="F186" s="4">
        <v>1298.25</v>
      </c>
      <c r="H186" s="10">
        <f t="shared" si="2"/>
        <v>-3.4363494365725791E-2</v>
      </c>
    </row>
    <row r="187" spans="1:8">
      <c r="A187" s="2">
        <v>45478</v>
      </c>
      <c r="B187" s="4">
        <v>1380.1</v>
      </c>
      <c r="C187" s="4">
        <v>1384.95</v>
      </c>
      <c r="D187" s="4">
        <v>1334</v>
      </c>
      <c r="E187" s="4">
        <v>1384.6</v>
      </c>
      <c r="F187" s="4">
        <v>1344.45</v>
      </c>
      <c r="H187" s="10">
        <f t="shared" si="2"/>
        <v>-2.8997544417160095E-2</v>
      </c>
    </row>
    <row r="188" spans="1:8">
      <c r="A188" s="2">
        <v>45477</v>
      </c>
      <c r="B188" s="4">
        <v>1427</v>
      </c>
      <c r="C188" s="4">
        <v>1429</v>
      </c>
      <c r="D188" s="4">
        <v>1374.25</v>
      </c>
      <c r="E188" s="4">
        <v>1368.1</v>
      </c>
      <c r="F188" s="4">
        <v>1384.6</v>
      </c>
      <c r="H188" s="10">
        <f t="shared" si="2"/>
        <v>1.2060521891674586E-2</v>
      </c>
    </row>
    <row r="189" spans="1:8">
      <c r="A189" s="2">
        <v>45476</v>
      </c>
      <c r="B189" s="4">
        <v>1379.85</v>
      </c>
      <c r="C189" s="4">
        <v>1396</v>
      </c>
      <c r="D189" s="4">
        <v>1359.85</v>
      </c>
      <c r="E189" s="4">
        <v>1367.75</v>
      </c>
      <c r="F189" s="4">
        <v>1368.1</v>
      </c>
      <c r="H189" s="10">
        <f t="shared" si="2"/>
        <v>2.5589471760183445E-4</v>
      </c>
    </row>
    <row r="190" spans="1:8">
      <c r="A190" s="2">
        <v>45475</v>
      </c>
      <c r="B190" s="4">
        <v>1360</v>
      </c>
      <c r="C190" s="4">
        <v>1405.85</v>
      </c>
      <c r="D190" s="4">
        <v>1359.55</v>
      </c>
      <c r="E190" s="4">
        <v>1352.4</v>
      </c>
      <c r="F190" s="4">
        <v>1367.75</v>
      </c>
      <c r="H190" s="10">
        <f t="shared" si="2"/>
        <v>1.1350192250813301E-2</v>
      </c>
    </row>
    <row r="191" spans="1:8">
      <c r="A191" s="2">
        <v>45474</v>
      </c>
      <c r="B191" s="4">
        <v>1358.75</v>
      </c>
      <c r="C191" s="4">
        <v>1369.2</v>
      </c>
      <c r="D191" s="4">
        <v>1338.35</v>
      </c>
      <c r="E191" s="4">
        <v>1348.4</v>
      </c>
      <c r="F191" s="4">
        <v>1352.4</v>
      </c>
      <c r="H191" s="10">
        <f t="shared" si="2"/>
        <v>2.9664787896766538E-3</v>
      </c>
    </row>
    <row r="192" spans="1:8">
      <c r="A192" s="2">
        <v>45471</v>
      </c>
      <c r="B192" s="4">
        <v>1374</v>
      </c>
      <c r="C192" s="4">
        <v>1388.8</v>
      </c>
      <c r="D192" s="4">
        <v>1341</v>
      </c>
      <c r="E192" s="4">
        <v>1349.1</v>
      </c>
      <c r="F192" s="4">
        <v>1348.4</v>
      </c>
      <c r="H192" s="10">
        <f t="shared" si="2"/>
        <v>-5.1886442813714191E-4</v>
      </c>
    </row>
    <row r="193" spans="1:8">
      <c r="A193" s="2">
        <v>45470</v>
      </c>
      <c r="B193" s="4">
        <v>1359.35</v>
      </c>
      <c r="C193" s="4">
        <v>1378.4</v>
      </c>
      <c r="D193" s="4">
        <v>1331.4</v>
      </c>
      <c r="E193" s="4">
        <v>1359.35</v>
      </c>
      <c r="F193" s="4">
        <v>1349.1</v>
      </c>
      <c r="H193" s="10">
        <f t="shared" si="2"/>
        <v>-7.5403685585022258E-3</v>
      </c>
    </row>
    <row r="194" spans="1:8">
      <c r="A194" s="2">
        <v>45469</v>
      </c>
      <c r="B194" s="4">
        <v>1378.1</v>
      </c>
      <c r="C194" s="4">
        <v>1386</v>
      </c>
      <c r="D194" s="4">
        <v>1355</v>
      </c>
      <c r="E194" s="4">
        <v>1390.7</v>
      </c>
      <c r="F194" s="4">
        <v>1359.35</v>
      </c>
      <c r="H194" s="10">
        <f t="shared" si="2"/>
        <v>-2.2542604443805375E-2</v>
      </c>
    </row>
    <row r="195" spans="1:8">
      <c r="A195" s="2">
        <v>45468</v>
      </c>
      <c r="B195" s="4">
        <v>1445</v>
      </c>
      <c r="C195" s="4">
        <v>1453.1</v>
      </c>
      <c r="D195" s="4">
        <v>1357.35</v>
      </c>
      <c r="E195" s="4">
        <v>1420.65</v>
      </c>
      <c r="F195" s="4">
        <v>1390.7</v>
      </c>
      <c r="H195" s="10">
        <f t="shared" si="2"/>
        <v>-2.1081899130679649E-2</v>
      </c>
    </row>
    <row r="196" spans="1:8">
      <c r="A196" s="2">
        <v>45467</v>
      </c>
      <c r="B196" s="4">
        <v>1345</v>
      </c>
      <c r="C196" s="4">
        <v>1451.95</v>
      </c>
      <c r="D196" s="4">
        <v>1329</v>
      </c>
      <c r="E196" s="4">
        <v>1359.15</v>
      </c>
      <c r="F196" s="4">
        <v>1420.65</v>
      </c>
      <c r="H196" s="10">
        <f t="shared" si="2"/>
        <v>4.5248868778280542E-2</v>
      </c>
    </row>
    <row r="197" spans="1:8">
      <c r="A197" s="2">
        <v>45464</v>
      </c>
      <c r="B197" s="4">
        <v>1343.7</v>
      </c>
      <c r="C197" s="4">
        <v>1375.05</v>
      </c>
      <c r="D197" s="4">
        <v>1338.15</v>
      </c>
      <c r="E197" s="4">
        <v>1340.55</v>
      </c>
      <c r="F197" s="4">
        <v>1359.15</v>
      </c>
      <c r="H197" s="10">
        <f t="shared" ref="H197:H252" si="3">(F197-E197)/E197</f>
        <v>1.3874902092424854E-2</v>
      </c>
    </row>
    <row r="198" spans="1:8">
      <c r="A198" s="2">
        <v>45463</v>
      </c>
      <c r="B198" s="4">
        <v>1346</v>
      </c>
      <c r="C198" s="4">
        <v>1379.7</v>
      </c>
      <c r="D198" s="4">
        <v>1325.05</v>
      </c>
      <c r="E198" s="4">
        <v>1317.95</v>
      </c>
      <c r="F198" s="4">
        <v>1340.55</v>
      </c>
      <c r="H198" s="10">
        <f t="shared" si="3"/>
        <v>1.7147843241397554E-2</v>
      </c>
    </row>
    <row r="199" spans="1:8">
      <c r="A199" s="2">
        <v>45462</v>
      </c>
      <c r="B199" s="4">
        <v>1367.95</v>
      </c>
      <c r="C199" s="4">
        <v>1371.6</v>
      </c>
      <c r="D199" s="4">
        <v>1313.9</v>
      </c>
      <c r="E199" s="4">
        <v>1369.35</v>
      </c>
      <c r="F199" s="4">
        <v>1317.95</v>
      </c>
      <c r="H199" s="10">
        <f t="shared" si="3"/>
        <v>-3.7536057253441314E-2</v>
      </c>
    </row>
    <row r="200" spans="1:8">
      <c r="A200" s="2">
        <v>45461</v>
      </c>
      <c r="B200" s="4">
        <v>1367</v>
      </c>
      <c r="C200" s="4">
        <v>1387.45</v>
      </c>
      <c r="D200" s="4">
        <v>1342.45</v>
      </c>
      <c r="E200" s="4">
        <v>1356.35</v>
      </c>
      <c r="F200" s="4">
        <v>1369.35</v>
      </c>
      <c r="H200" s="10">
        <f t="shared" si="3"/>
        <v>9.5845467615291047E-3</v>
      </c>
    </row>
    <row r="201" spans="1:8">
      <c r="A201" s="2">
        <v>45457</v>
      </c>
      <c r="B201" s="4">
        <v>1368.8</v>
      </c>
      <c r="C201" s="4">
        <v>1437</v>
      </c>
      <c r="D201" s="4">
        <v>1348</v>
      </c>
      <c r="E201" s="4">
        <v>1362.75</v>
      </c>
      <c r="F201" s="4">
        <v>1356.35</v>
      </c>
      <c r="H201" s="10">
        <f t="shared" si="3"/>
        <v>-4.6963859842231448E-3</v>
      </c>
    </row>
    <row r="202" spans="1:8">
      <c r="A202" s="2">
        <v>45456</v>
      </c>
      <c r="B202" s="4">
        <v>1362.9</v>
      </c>
      <c r="C202" s="4">
        <v>1387</v>
      </c>
      <c r="D202" s="4">
        <v>1345.9</v>
      </c>
      <c r="E202" s="4">
        <v>1343.6</v>
      </c>
      <c r="F202" s="4">
        <v>1362.75</v>
      </c>
      <c r="H202" s="10">
        <f t="shared" si="3"/>
        <v>1.425275379577262E-2</v>
      </c>
    </row>
    <row r="203" spans="1:8">
      <c r="A203" s="2">
        <v>45455</v>
      </c>
      <c r="B203" s="4">
        <v>1402.15</v>
      </c>
      <c r="C203" s="4">
        <v>1411.85</v>
      </c>
      <c r="D203" s="4">
        <v>1338.15</v>
      </c>
      <c r="E203" s="4">
        <v>1399.4</v>
      </c>
      <c r="F203" s="4">
        <v>1343.6</v>
      </c>
      <c r="H203" s="10">
        <f t="shared" si="3"/>
        <v>-3.9874231813634545E-2</v>
      </c>
    </row>
    <row r="204" spans="1:8">
      <c r="A204" s="2">
        <v>45454</v>
      </c>
      <c r="B204" s="4">
        <v>1395.75</v>
      </c>
      <c r="C204" s="4">
        <v>1431</v>
      </c>
      <c r="D204" s="4">
        <v>1380.1</v>
      </c>
      <c r="E204" s="4">
        <v>1379.9</v>
      </c>
      <c r="F204" s="4">
        <v>1399.4</v>
      </c>
      <c r="H204" s="10">
        <f t="shared" si="3"/>
        <v>1.4131458801362417E-2</v>
      </c>
    </row>
    <row r="205" spans="1:8">
      <c r="A205" s="2">
        <v>45453</v>
      </c>
      <c r="B205" s="4">
        <v>1395.2</v>
      </c>
      <c r="C205" s="4">
        <v>1440</v>
      </c>
      <c r="D205" s="4">
        <v>1375</v>
      </c>
      <c r="E205" s="4">
        <v>1389.35</v>
      </c>
      <c r="F205" s="4">
        <v>1379.9</v>
      </c>
      <c r="H205" s="10">
        <f t="shared" si="3"/>
        <v>-6.8017418217150597E-3</v>
      </c>
    </row>
    <row r="206" spans="1:8">
      <c r="A206" s="2">
        <v>45450</v>
      </c>
      <c r="B206" s="4">
        <v>1314.9</v>
      </c>
      <c r="C206" s="4">
        <v>1432.6</v>
      </c>
      <c r="D206" s="4">
        <v>1300.2</v>
      </c>
      <c r="E206" s="4">
        <v>1317.6</v>
      </c>
      <c r="F206" s="4">
        <v>1389.35</v>
      </c>
      <c r="H206" s="10">
        <f t="shared" si="3"/>
        <v>5.4455069823922286E-2</v>
      </c>
    </row>
    <row r="207" spans="1:8">
      <c r="A207" s="2">
        <v>45449</v>
      </c>
      <c r="B207" s="4">
        <v>1227.45</v>
      </c>
      <c r="C207" s="4">
        <v>1358</v>
      </c>
      <c r="D207" s="4">
        <v>1225</v>
      </c>
      <c r="E207" s="4">
        <v>1209.55</v>
      </c>
      <c r="F207" s="4">
        <v>1317.6</v>
      </c>
      <c r="H207" s="10">
        <f t="shared" si="3"/>
        <v>8.9330742838245589E-2</v>
      </c>
    </row>
    <row r="208" spans="1:8">
      <c r="A208" s="2">
        <v>45448</v>
      </c>
      <c r="B208" s="4">
        <v>1269</v>
      </c>
      <c r="C208" s="4">
        <v>1270</v>
      </c>
      <c r="D208" s="4">
        <v>1161.3499999999999</v>
      </c>
      <c r="E208" s="4">
        <v>1228.55</v>
      </c>
      <c r="F208" s="4">
        <v>1209.55</v>
      </c>
      <c r="H208" s="10">
        <f t="shared" si="3"/>
        <v>-1.546538602417484E-2</v>
      </c>
    </row>
    <row r="209" spans="1:8">
      <c r="A209" s="2">
        <v>45447</v>
      </c>
      <c r="B209" s="4">
        <v>1364</v>
      </c>
      <c r="C209" s="4">
        <v>1364</v>
      </c>
      <c r="D209" s="4">
        <v>1202.95</v>
      </c>
      <c r="E209" s="4">
        <v>1370.1</v>
      </c>
      <c r="F209" s="4">
        <v>1228.55</v>
      </c>
      <c r="H209" s="10">
        <f t="shared" si="3"/>
        <v>-0.10331362674257351</v>
      </c>
    </row>
    <row r="210" spans="1:8">
      <c r="A210" s="2">
        <v>45446</v>
      </c>
      <c r="B210" s="4">
        <v>1350</v>
      </c>
      <c r="C210" s="4">
        <v>1386.9</v>
      </c>
      <c r="D210" s="4">
        <v>1320</v>
      </c>
      <c r="E210" s="4">
        <v>1283.5999999999999</v>
      </c>
      <c r="F210" s="4">
        <v>1370.1</v>
      </c>
      <c r="H210" s="10">
        <f t="shared" si="3"/>
        <v>6.738859457775008E-2</v>
      </c>
    </row>
    <row r="211" spans="1:8">
      <c r="A211" s="2">
        <v>45443</v>
      </c>
      <c r="B211" s="4">
        <v>1235.45</v>
      </c>
      <c r="C211" s="4">
        <v>1303</v>
      </c>
      <c r="D211" s="4">
        <v>1233.0999999999999</v>
      </c>
      <c r="E211" s="4">
        <v>1235.45</v>
      </c>
      <c r="F211" s="4">
        <v>1283.5999999999999</v>
      </c>
      <c r="H211" s="10">
        <f t="shared" si="3"/>
        <v>3.8973653324699389E-2</v>
      </c>
    </row>
    <row r="212" spans="1:8">
      <c r="A212" s="2">
        <v>45442</v>
      </c>
      <c r="B212" s="4">
        <v>1245.8</v>
      </c>
      <c r="C212" s="4">
        <v>1249.9000000000001</v>
      </c>
      <c r="D212" s="4">
        <v>1212.2</v>
      </c>
      <c r="E212" s="4">
        <v>1243.75</v>
      </c>
      <c r="F212" s="4">
        <v>1235.45</v>
      </c>
      <c r="H212" s="10">
        <f t="shared" si="3"/>
        <v>-6.6733668341708175E-3</v>
      </c>
    </row>
    <row r="213" spans="1:8">
      <c r="A213" s="2">
        <v>45441</v>
      </c>
      <c r="B213" s="4">
        <v>1299.05</v>
      </c>
      <c r="C213" s="4">
        <v>1331.45</v>
      </c>
      <c r="D213" s="4">
        <v>1229</v>
      </c>
      <c r="E213" s="4">
        <v>1225.3</v>
      </c>
      <c r="F213" s="4">
        <v>1243.75</v>
      </c>
      <c r="H213" s="10">
        <f t="shared" si="3"/>
        <v>1.5057536929731531E-2</v>
      </c>
    </row>
    <row r="214" spans="1:8">
      <c r="A214" s="2">
        <v>45440</v>
      </c>
      <c r="B214" s="4">
        <v>1286.95</v>
      </c>
      <c r="C214" s="4">
        <v>1288.2</v>
      </c>
      <c r="D214" s="4">
        <v>1215</v>
      </c>
      <c r="E214" s="4">
        <v>1276.8499999999999</v>
      </c>
      <c r="F214" s="4">
        <v>1225.3</v>
      </c>
      <c r="H214" s="10">
        <f t="shared" si="3"/>
        <v>-4.0372792418843215E-2</v>
      </c>
    </row>
    <row r="215" spans="1:8">
      <c r="A215" s="2">
        <v>45439</v>
      </c>
      <c r="B215" s="4">
        <v>1266.8</v>
      </c>
      <c r="C215" s="4">
        <v>1293.9000000000001</v>
      </c>
      <c r="D215" s="4">
        <v>1266.55</v>
      </c>
      <c r="E215" s="4">
        <v>1264.7</v>
      </c>
      <c r="F215" s="4">
        <v>1276.8499999999999</v>
      </c>
      <c r="H215" s="10">
        <f t="shared" si="3"/>
        <v>9.6070214280065333E-3</v>
      </c>
    </row>
    <row r="216" spans="1:8">
      <c r="A216" s="2">
        <v>45436</v>
      </c>
      <c r="B216" s="4">
        <v>1270</v>
      </c>
      <c r="C216" s="4">
        <v>1300</v>
      </c>
      <c r="D216" s="4">
        <v>1247.75</v>
      </c>
      <c r="E216" s="4">
        <v>1264.55</v>
      </c>
      <c r="F216" s="4">
        <v>1264.7</v>
      </c>
      <c r="H216" s="10">
        <f t="shared" si="3"/>
        <v>1.1861927167774383E-4</v>
      </c>
    </row>
    <row r="217" spans="1:8">
      <c r="A217" s="2">
        <v>45435</v>
      </c>
      <c r="B217" s="4">
        <v>1199.5</v>
      </c>
      <c r="C217" s="4">
        <v>1284.45</v>
      </c>
      <c r="D217" s="4">
        <v>1195.8</v>
      </c>
      <c r="E217" s="4">
        <v>1193.8</v>
      </c>
      <c r="F217" s="4">
        <v>1264.55</v>
      </c>
      <c r="H217" s="10">
        <f t="shared" si="3"/>
        <v>5.9264533422683868E-2</v>
      </c>
    </row>
    <row r="218" spans="1:8">
      <c r="A218" s="2">
        <v>45434</v>
      </c>
      <c r="B218" s="4">
        <v>1200.05</v>
      </c>
      <c r="C218" s="4">
        <v>1202.3</v>
      </c>
      <c r="D218" s="4">
        <v>1172.7</v>
      </c>
      <c r="E218" s="4">
        <v>1205.8</v>
      </c>
      <c r="F218" s="4">
        <v>1193.8</v>
      </c>
      <c r="H218" s="10">
        <f t="shared" si="3"/>
        <v>-9.9518991540885719E-3</v>
      </c>
    </row>
    <row r="219" spans="1:8">
      <c r="A219" s="2">
        <v>45433</v>
      </c>
      <c r="B219" s="4">
        <v>1182.7</v>
      </c>
      <c r="C219" s="4">
        <v>1268.95</v>
      </c>
      <c r="D219" s="4">
        <v>1175.5</v>
      </c>
      <c r="E219" s="4">
        <v>1195.3</v>
      </c>
      <c r="F219" s="4">
        <v>1205.8</v>
      </c>
      <c r="H219" s="10">
        <f t="shared" si="3"/>
        <v>8.7844055885551754E-3</v>
      </c>
    </row>
    <row r="220" spans="1:8">
      <c r="A220" s="2">
        <v>45430</v>
      </c>
      <c r="B220" s="4">
        <v>1197</v>
      </c>
      <c r="C220" s="4">
        <v>1211</v>
      </c>
      <c r="D220" s="4">
        <v>1180</v>
      </c>
      <c r="E220" s="4">
        <v>1190.45</v>
      </c>
      <c r="F220" s="4">
        <v>1195.3</v>
      </c>
      <c r="H220" s="10">
        <f t="shared" si="3"/>
        <v>4.0740896299717826E-3</v>
      </c>
    </row>
    <row r="221" spans="1:8">
      <c r="A221" s="2">
        <v>45429</v>
      </c>
      <c r="B221" s="4">
        <v>1094.05</v>
      </c>
      <c r="C221" s="4">
        <v>1200</v>
      </c>
      <c r="D221" s="4">
        <v>1089.05</v>
      </c>
      <c r="E221" s="4">
        <v>1101.95</v>
      </c>
      <c r="F221" s="4">
        <v>1190.45</v>
      </c>
      <c r="H221" s="10">
        <f t="shared" si="3"/>
        <v>8.0312173873587731E-2</v>
      </c>
    </row>
    <row r="222" spans="1:8">
      <c r="A222" s="2">
        <v>45428</v>
      </c>
      <c r="B222" s="4">
        <v>1092.8499999999999</v>
      </c>
      <c r="C222" s="4">
        <v>1112.55</v>
      </c>
      <c r="D222" s="4">
        <v>1067.45</v>
      </c>
      <c r="E222" s="4">
        <v>1081.1500000000001</v>
      </c>
      <c r="F222" s="4">
        <v>1101.95</v>
      </c>
      <c r="H222" s="10">
        <f t="shared" si="3"/>
        <v>1.9238773528187536E-2</v>
      </c>
    </row>
    <row r="223" spans="1:8">
      <c r="A223" s="2">
        <v>45427</v>
      </c>
      <c r="B223" s="4">
        <v>1008.9</v>
      </c>
      <c r="C223" s="4">
        <v>1098</v>
      </c>
      <c r="D223" s="4">
        <v>1008.9</v>
      </c>
      <c r="E223" s="4">
        <v>1002.05</v>
      </c>
      <c r="F223" s="4">
        <v>1081.1500000000001</v>
      </c>
      <c r="H223" s="10">
        <f t="shared" si="3"/>
        <v>7.8938176737687882E-2</v>
      </c>
    </row>
    <row r="224" spans="1:8">
      <c r="A224" s="2">
        <v>45426</v>
      </c>
      <c r="B224" s="4">
        <v>1013.9</v>
      </c>
      <c r="C224" s="4">
        <v>1025.95</v>
      </c>
      <c r="D224" s="3">
        <v>990</v>
      </c>
      <c r="E224" s="4">
        <v>1013.2</v>
      </c>
      <c r="F224" s="4">
        <v>1002.05</v>
      </c>
      <c r="H224" s="10">
        <f t="shared" si="3"/>
        <v>-1.100473746545607E-2</v>
      </c>
    </row>
    <row r="225" spans="1:8">
      <c r="A225" s="2">
        <v>45425</v>
      </c>
      <c r="B225" s="4">
        <v>1038</v>
      </c>
      <c r="C225" s="4">
        <v>1043.8</v>
      </c>
      <c r="D225" s="4">
        <v>1003.1</v>
      </c>
      <c r="E225" s="4">
        <v>1037.95</v>
      </c>
      <c r="F225" s="4">
        <v>1013.2</v>
      </c>
      <c r="H225" s="10">
        <f t="shared" si="3"/>
        <v>-2.3845079242738088E-2</v>
      </c>
    </row>
    <row r="226" spans="1:8">
      <c r="A226" s="2">
        <v>45422</v>
      </c>
      <c r="B226" s="4">
        <v>1059.4000000000001</v>
      </c>
      <c r="C226" s="4">
        <v>1073.1500000000001</v>
      </c>
      <c r="D226" s="4">
        <v>1024</v>
      </c>
      <c r="E226" s="4">
        <v>1052.2</v>
      </c>
      <c r="F226" s="4">
        <v>1037.95</v>
      </c>
      <c r="H226" s="10">
        <f t="shared" si="3"/>
        <v>-1.354305265158715E-2</v>
      </c>
    </row>
    <row r="227" spans="1:8">
      <c r="A227" s="2">
        <v>45421</v>
      </c>
      <c r="B227" s="4">
        <v>1109.9000000000001</v>
      </c>
      <c r="C227" s="4">
        <v>1124.8</v>
      </c>
      <c r="D227" s="4">
        <v>1045.6500000000001</v>
      </c>
      <c r="E227" s="4">
        <v>1108.5</v>
      </c>
      <c r="F227" s="4">
        <v>1052.2</v>
      </c>
      <c r="H227" s="10">
        <f t="shared" si="3"/>
        <v>-5.0789354984212859E-2</v>
      </c>
    </row>
    <row r="228" spans="1:8">
      <c r="A228" s="2">
        <v>45420</v>
      </c>
      <c r="B228" s="4">
        <v>1091.5999999999999</v>
      </c>
      <c r="C228" s="4">
        <v>1119</v>
      </c>
      <c r="D228" s="4">
        <v>1072.5999999999999</v>
      </c>
      <c r="E228" s="4">
        <v>1093.9000000000001</v>
      </c>
      <c r="F228" s="4">
        <v>1108.5</v>
      </c>
      <c r="H228" s="10">
        <f t="shared" si="3"/>
        <v>1.3346741018374539E-2</v>
      </c>
    </row>
    <row r="229" spans="1:8">
      <c r="A229" s="2">
        <v>45419</v>
      </c>
      <c r="B229" s="4">
        <v>1122.7</v>
      </c>
      <c r="C229" s="4">
        <v>1153.9000000000001</v>
      </c>
      <c r="D229" s="4">
        <v>1076</v>
      </c>
      <c r="E229" s="4">
        <v>1110.05</v>
      </c>
      <c r="F229" s="4">
        <v>1093.9000000000001</v>
      </c>
      <c r="H229" s="10">
        <f t="shared" si="3"/>
        <v>-1.4548894193955105E-2</v>
      </c>
    </row>
    <row r="230" spans="1:8">
      <c r="A230" s="2">
        <v>45418</v>
      </c>
      <c r="B230" s="4">
        <v>1022</v>
      </c>
      <c r="C230" s="4">
        <v>1126</v>
      </c>
      <c r="D230" s="4">
        <v>1011.1</v>
      </c>
      <c r="E230" s="4">
        <v>1020.6</v>
      </c>
      <c r="F230" s="4">
        <v>1110.05</v>
      </c>
      <c r="H230" s="10">
        <f t="shared" si="3"/>
        <v>8.7644522829707944E-2</v>
      </c>
    </row>
    <row r="231" spans="1:8">
      <c r="A231" s="2">
        <v>45415</v>
      </c>
      <c r="B231" s="4">
        <v>1033.25</v>
      </c>
      <c r="C231" s="4">
        <v>1040</v>
      </c>
      <c r="D231" s="4">
        <v>1014.3</v>
      </c>
      <c r="E231" s="4">
        <v>1032.3</v>
      </c>
      <c r="F231" s="4">
        <v>1020.6</v>
      </c>
      <c r="H231" s="10">
        <f t="shared" si="3"/>
        <v>-1.1333914559720945E-2</v>
      </c>
    </row>
    <row r="232" spans="1:8">
      <c r="A232" s="2">
        <v>45414</v>
      </c>
      <c r="B232" s="4">
        <v>1032.9000000000001</v>
      </c>
      <c r="C232" s="4">
        <v>1041.45</v>
      </c>
      <c r="D232" s="4">
        <v>1019.8</v>
      </c>
      <c r="E232" s="4">
        <v>1032.9000000000001</v>
      </c>
      <c r="F232" s="4">
        <v>1032.3</v>
      </c>
      <c r="H232" s="10">
        <f t="shared" si="3"/>
        <v>-5.8088875980262988E-4</v>
      </c>
    </row>
    <row r="233" spans="1:8">
      <c r="A233" s="2">
        <v>45412</v>
      </c>
      <c r="B233" s="4">
        <v>1015</v>
      </c>
      <c r="C233" s="4">
        <v>1040.5</v>
      </c>
      <c r="D233" s="4">
        <v>1010.45</v>
      </c>
      <c r="E233" s="4">
        <v>1013.95</v>
      </c>
      <c r="F233" s="4">
        <v>1032.9000000000001</v>
      </c>
      <c r="H233" s="10">
        <f t="shared" si="3"/>
        <v>1.868928448148335E-2</v>
      </c>
    </row>
    <row r="234" spans="1:8">
      <c r="A234" s="2">
        <v>45411</v>
      </c>
      <c r="B234" s="4">
        <v>1035.45</v>
      </c>
      <c r="C234" s="4">
        <v>1035.45</v>
      </c>
      <c r="D234" s="4">
        <v>1001</v>
      </c>
      <c r="E234" s="4">
        <v>1020.4</v>
      </c>
      <c r="F234" s="4">
        <v>1013.95</v>
      </c>
      <c r="H234" s="10">
        <f t="shared" si="3"/>
        <v>-6.3210505684044805E-3</v>
      </c>
    </row>
    <row r="235" spans="1:8">
      <c r="A235" s="2">
        <v>45408</v>
      </c>
      <c r="B235" s="4">
        <v>1045.1500000000001</v>
      </c>
      <c r="C235" s="4">
        <v>1094.9000000000001</v>
      </c>
      <c r="D235" s="4">
        <v>1005.95</v>
      </c>
      <c r="E235" s="4">
        <v>1041.05</v>
      </c>
      <c r="F235" s="4">
        <v>1020.4</v>
      </c>
      <c r="H235" s="10">
        <f t="shared" si="3"/>
        <v>-1.9835742759713729E-2</v>
      </c>
    </row>
    <row r="236" spans="1:8">
      <c r="A236" s="2">
        <v>45407</v>
      </c>
      <c r="B236" s="4">
        <v>1020.95</v>
      </c>
      <c r="C236" s="4">
        <v>1044</v>
      </c>
      <c r="D236" s="4">
        <v>1020</v>
      </c>
      <c r="E236" s="4">
        <v>1020.4</v>
      </c>
      <c r="F236" s="4">
        <v>1041.05</v>
      </c>
      <c r="H236" s="10">
        <f t="shared" si="3"/>
        <v>2.0237161897295155E-2</v>
      </c>
    </row>
    <row r="237" spans="1:8">
      <c r="A237" s="2">
        <v>45406</v>
      </c>
      <c r="B237" s="4">
        <v>1009.65</v>
      </c>
      <c r="C237" s="4">
        <v>1028</v>
      </c>
      <c r="D237" s="4">
        <v>1002.5</v>
      </c>
      <c r="E237" s="4">
        <v>1002.2</v>
      </c>
      <c r="F237" s="4">
        <v>1020.4</v>
      </c>
      <c r="H237" s="10">
        <f t="shared" si="3"/>
        <v>1.8160047894631742E-2</v>
      </c>
    </row>
    <row r="238" spans="1:8">
      <c r="A238" s="2">
        <v>45405</v>
      </c>
      <c r="B238" s="3">
        <v>986.15</v>
      </c>
      <c r="C238" s="4">
        <v>1006.95</v>
      </c>
      <c r="D238" s="3">
        <v>982.2</v>
      </c>
      <c r="E238" s="3">
        <v>976.5</v>
      </c>
      <c r="F238" s="4">
        <v>1002.2</v>
      </c>
      <c r="H238" s="10">
        <f t="shared" si="3"/>
        <v>2.6318484383000558E-2</v>
      </c>
    </row>
    <row r="239" spans="1:8">
      <c r="A239" s="2">
        <v>45404</v>
      </c>
      <c r="B239" s="4">
        <v>1035</v>
      </c>
      <c r="C239" s="4">
        <v>1035</v>
      </c>
      <c r="D239" s="3">
        <v>970.3</v>
      </c>
      <c r="E239" s="4">
        <v>1015.65</v>
      </c>
      <c r="F239" s="3">
        <v>976.5</v>
      </c>
      <c r="H239" s="10">
        <f t="shared" si="3"/>
        <v>-3.8546743464776233E-2</v>
      </c>
    </row>
    <row r="240" spans="1:8">
      <c r="A240" s="2">
        <v>45401</v>
      </c>
      <c r="B240" s="4">
        <v>1000</v>
      </c>
      <c r="C240" s="4">
        <v>1034.95</v>
      </c>
      <c r="D240" s="3">
        <v>999</v>
      </c>
      <c r="E240" s="4">
        <v>1030.3</v>
      </c>
      <c r="F240" s="4">
        <v>1015.65</v>
      </c>
      <c r="H240" s="10">
        <f t="shared" si="3"/>
        <v>-1.4219159468116062E-2</v>
      </c>
    </row>
    <row r="241" spans="1:8">
      <c r="A241" s="2">
        <v>45400</v>
      </c>
      <c r="B241" s="4">
        <v>1029.9000000000001</v>
      </c>
      <c r="C241" s="4">
        <v>1058.95</v>
      </c>
      <c r="D241" s="4">
        <v>1019.15</v>
      </c>
      <c r="E241" s="3">
        <v>994.15</v>
      </c>
      <c r="F241" s="4">
        <v>1030.3</v>
      </c>
      <c r="H241" s="10">
        <f t="shared" si="3"/>
        <v>3.6362721923250997E-2</v>
      </c>
    </row>
    <row r="242" spans="1:8">
      <c r="A242" s="2">
        <v>45398</v>
      </c>
      <c r="B242" s="3">
        <v>980</v>
      </c>
      <c r="C242" s="4">
        <v>1000.5</v>
      </c>
      <c r="D242" s="3">
        <v>977.7</v>
      </c>
      <c r="E242" s="3">
        <v>982.75</v>
      </c>
      <c r="F242" s="3">
        <v>994.15</v>
      </c>
      <c r="H242" s="10">
        <f t="shared" si="3"/>
        <v>1.1600101755278532E-2</v>
      </c>
    </row>
    <row r="243" spans="1:8">
      <c r="A243" s="2">
        <v>45397</v>
      </c>
      <c r="B243" s="3">
        <v>952</v>
      </c>
      <c r="C243" s="3">
        <v>996.7</v>
      </c>
      <c r="D243" s="3">
        <v>952</v>
      </c>
      <c r="E243" s="4">
        <v>1002.9</v>
      </c>
      <c r="F243" s="3">
        <v>982.75</v>
      </c>
      <c r="H243" s="10">
        <f t="shared" si="3"/>
        <v>-2.009173397148268E-2</v>
      </c>
    </row>
    <row r="244" spans="1:8">
      <c r="A244" s="2">
        <v>45394</v>
      </c>
      <c r="B244" s="3">
        <v>982</v>
      </c>
      <c r="C244" s="4">
        <v>1017</v>
      </c>
      <c r="D244" s="3">
        <v>981.15</v>
      </c>
      <c r="E244" s="3">
        <v>986.75</v>
      </c>
      <c r="F244" s="4">
        <v>1002.9</v>
      </c>
      <c r="H244" s="10">
        <f t="shared" si="3"/>
        <v>1.6366860907017965E-2</v>
      </c>
    </row>
    <row r="245" spans="1:8">
      <c r="A245" s="2">
        <v>45392</v>
      </c>
      <c r="B245" s="3">
        <v>995.95</v>
      </c>
      <c r="C245" s="3">
        <v>999.5</v>
      </c>
      <c r="D245" s="3">
        <v>977</v>
      </c>
      <c r="E245" s="3">
        <v>985.05</v>
      </c>
      <c r="F245" s="3">
        <v>986.75</v>
      </c>
      <c r="H245" s="10">
        <f t="shared" si="3"/>
        <v>1.7258007207756414E-3</v>
      </c>
    </row>
    <row r="246" spans="1:8">
      <c r="A246" s="2">
        <v>45391</v>
      </c>
      <c r="B246" s="3">
        <v>972.1</v>
      </c>
      <c r="C246" s="3">
        <v>998</v>
      </c>
      <c r="D246" s="3">
        <v>963.2</v>
      </c>
      <c r="E246" s="3">
        <v>963.4</v>
      </c>
      <c r="F246" s="3">
        <v>985.05</v>
      </c>
      <c r="H246" s="10">
        <f t="shared" si="3"/>
        <v>2.247249325306205E-2</v>
      </c>
    </row>
    <row r="247" spans="1:8">
      <c r="A247" s="2">
        <v>45390</v>
      </c>
      <c r="B247" s="3">
        <v>978.65</v>
      </c>
      <c r="C247" s="4">
        <v>1006.1</v>
      </c>
      <c r="D247" s="3">
        <v>957.65</v>
      </c>
      <c r="E247" s="3">
        <v>964.7</v>
      </c>
      <c r="F247" s="3">
        <v>963.4</v>
      </c>
      <c r="H247" s="10">
        <f t="shared" si="3"/>
        <v>-1.3475691924951468E-3</v>
      </c>
    </row>
    <row r="248" spans="1:8">
      <c r="A248" s="2">
        <v>45387</v>
      </c>
      <c r="B248" s="3">
        <v>957.8</v>
      </c>
      <c r="C248" s="3">
        <v>982.2</v>
      </c>
      <c r="D248" s="3">
        <v>949.2</v>
      </c>
      <c r="E248" s="3">
        <v>957.8</v>
      </c>
      <c r="F248" s="3">
        <v>964.7</v>
      </c>
      <c r="H248" s="10">
        <f t="shared" si="3"/>
        <v>7.2040091877219577E-3</v>
      </c>
    </row>
    <row r="249" spans="1:8">
      <c r="A249" s="2">
        <v>45386</v>
      </c>
      <c r="B249" s="3">
        <v>962.15</v>
      </c>
      <c r="C249" s="3">
        <v>963.85</v>
      </c>
      <c r="D249" s="3">
        <v>941.3</v>
      </c>
      <c r="E249" s="3">
        <v>943.4</v>
      </c>
      <c r="F249" s="3">
        <v>957.8</v>
      </c>
      <c r="H249" s="10">
        <f t="shared" si="3"/>
        <v>1.52639389442442E-2</v>
      </c>
    </row>
    <row r="250" spans="1:8">
      <c r="A250" s="2">
        <v>45385</v>
      </c>
      <c r="B250" s="3">
        <v>950.85</v>
      </c>
      <c r="C250" s="3">
        <v>965</v>
      </c>
      <c r="D250" s="3">
        <v>938</v>
      </c>
      <c r="E250" s="3">
        <v>950.85</v>
      </c>
      <c r="F250" s="3">
        <v>943.4</v>
      </c>
      <c r="H250" s="10">
        <f t="shared" si="3"/>
        <v>-7.8350949150760331E-3</v>
      </c>
    </row>
    <row r="251" spans="1:8">
      <c r="A251" s="2">
        <v>45384</v>
      </c>
      <c r="B251" s="3">
        <v>962</v>
      </c>
      <c r="C251" s="3">
        <v>966.35</v>
      </c>
      <c r="D251" s="3">
        <v>946.15</v>
      </c>
      <c r="E251" s="3">
        <v>956.55</v>
      </c>
      <c r="F251" s="3">
        <v>950.85</v>
      </c>
      <c r="H251" s="10">
        <f t="shared" si="3"/>
        <v>-5.9589148502429898E-3</v>
      </c>
    </row>
    <row r="252" spans="1:8">
      <c r="A252" s="2">
        <v>45383</v>
      </c>
      <c r="B252" s="3">
        <v>941.65</v>
      </c>
      <c r="C252" s="3">
        <v>966.95</v>
      </c>
      <c r="D252" s="3">
        <v>935.5</v>
      </c>
      <c r="E252" s="3">
        <v>935.3</v>
      </c>
      <c r="F252" s="3">
        <v>956.55</v>
      </c>
      <c r="H252" s="10">
        <f t="shared" si="3"/>
        <v>2.2719982893189352E-2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ECF1-BCD1-4859-B960-BFF28F7A6A6F}">
  <dimension ref="A1:L252"/>
  <sheetViews>
    <sheetView workbookViewId="0">
      <selection activeCell="H4" sqref="H4"/>
    </sheetView>
  </sheetViews>
  <sheetFormatPr defaultRowHeight="14.4"/>
  <cols>
    <col min="1" max="1" width="13.33203125" customWidth="1"/>
    <col min="2" max="2" width="9.88671875" customWidth="1"/>
    <col min="8" max="8" width="12.6640625" bestFit="1" customWidth="1"/>
    <col min="11" max="11" width="18.44140625" bestFit="1" customWidth="1"/>
    <col min="12" max="12" width="15" customWidth="1"/>
  </cols>
  <sheetData>
    <row r="1" spans="1:12">
      <c r="A1" s="5" t="s">
        <v>24</v>
      </c>
      <c r="B1" t="s">
        <v>25</v>
      </c>
    </row>
    <row r="3" spans="1:1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6</v>
      </c>
      <c r="H3" s="11" t="s">
        <v>7</v>
      </c>
    </row>
    <row r="4" spans="1:12">
      <c r="A4" s="2">
        <v>45744</v>
      </c>
      <c r="B4" s="3">
        <v>415.4</v>
      </c>
      <c r="C4" s="3">
        <v>421.3</v>
      </c>
      <c r="D4" s="3">
        <v>407.05</v>
      </c>
      <c r="E4" s="3">
        <v>410.4</v>
      </c>
      <c r="F4" s="3">
        <v>412.35</v>
      </c>
      <c r="H4" s="10">
        <f>(F4-E4)/E4</f>
        <v>4.7514619883042043E-3</v>
      </c>
    </row>
    <row r="5" spans="1:12">
      <c r="A5" s="2">
        <v>45743</v>
      </c>
      <c r="B5" s="3">
        <v>401</v>
      </c>
      <c r="C5" s="3">
        <v>414</v>
      </c>
      <c r="D5" s="3">
        <v>399.4</v>
      </c>
      <c r="E5" s="3">
        <v>404.7</v>
      </c>
      <c r="F5" s="3">
        <v>410.4</v>
      </c>
      <c r="H5" s="10">
        <f t="shared" ref="H5:H68" si="0">(F5-E5)/E5</f>
        <v>1.4084507042253494E-2</v>
      </c>
    </row>
    <row r="6" spans="1:12">
      <c r="A6" s="2">
        <v>45742</v>
      </c>
      <c r="B6" s="3">
        <v>410.65</v>
      </c>
      <c r="C6" s="3">
        <v>410.9</v>
      </c>
      <c r="D6" s="3">
        <v>403</v>
      </c>
      <c r="E6" s="3">
        <v>410.65</v>
      </c>
      <c r="F6" s="3">
        <v>404.7</v>
      </c>
      <c r="H6" s="10">
        <f t="shared" si="0"/>
        <v>-1.4489224400340896E-2</v>
      </c>
      <c r="K6" t="s">
        <v>8</v>
      </c>
      <c r="L6">
        <f>AVERAGE(H4:H252)</f>
        <v>-9.1833703187534099E-4</v>
      </c>
    </row>
    <row r="7" spans="1:12">
      <c r="A7" s="2">
        <v>45741</v>
      </c>
      <c r="B7" s="3">
        <v>418</v>
      </c>
      <c r="C7" s="3">
        <v>420</v>
      </c>
      <c r="D7" s="3">
        <v>406.2</v>
      </c>
      <c r="E7" s="3">
        <v>416</v>
      </c>
      <c r="F7" s="3">
        <v>410.65</v>
      </c>
      <c r="H7" s="10">
        <f t="shared" si="0"/>
        <v>-1.2860576923076978E-2</v>
      </c>
      <c r="K7" t="s">
        <v>9</v>
      </c>
      <c r="L7">
        <f>_xlfn.VAR.S(H4:H252)</f>
        <v>3.9496862612566937E-4</v>
      </c>
    </row>
    <row r="8" spans="1:12">
      <c r="A8" s="2">
        <v>45740</v>
      </c>
      <c r="B8" s="3">
        <v>415</v>
      </c>
      <c r="C8" s="3">
        <v>421.8</v>
      </c>
      <c r="D8" s="3">
        <v>412.5</v>
      </c>
      <c r="E8" s="3">
        <v>413.25</v>
      </c>
      <c r="F8" s="3">
        <v>416</v>
      </c>
      <c r="H8" s="10">
        <f t="shared" si="0"/>
        <v>6.6545674531155478E-3</v>
      </c>
      <c r="K8" t="s">
        <v>10</v>
      </c>
      <c r="L8">
        <f>_xlfn.STDEV.S(H4:H252)</f>
        <v>1.9873817603210244E-2</v>
      </c>
    </row>
    <row r="9" spans="1:12">
      <c r="A9" s="2">
        <v>45737</v>
      </c>
      <c r="B9" s="3">
        <v>402.5</v>
      </c>
      <c r="C9" s="3">
        <v>415.5</v>
      </c>
      <c r="D9" s="3">
        <v>400.4</v>
      </c>
      <c r="E9" s="3">
        <v>402.45</v>
      </c>
      <c r="F9" s="3">
        <v>413.25</v>
      </c>
      <c r="H9" s="10">
        <f t="shared" si="0"/>
        <v>2.6835631755497608E-2</v>
      </c>
    </row>
    <row r="10" spans="1:12">
      <c r="A10" s="2">
        <v>45736</v>
      </c>
      <c r="B10" s="3">
        <v>393</v>
      </c>
      <c r="C10" s="3">
        <v>405.9</v>
      </c>
      <c r="D10" s="3">
        <v>391.35</v>
      </c>
      <c r="E10" s="3">
        <v>393.3</v>
      </c>
      <c r="F10" s="3">
        <v>402.45</v>
      </c>
      <c r="H10" s="10">
        <f t="shared" si="0"/>
        <v>2.3264683447749752E-2</v>
      </c>
    </row>
    <row r="11" spans="1:12">
      <c r="A11" s="2">
        <v>45735</v>
      </c>
      <c r="B11" s="3">
        <v>382.85</v>
      </c>
      <c r="C11" s="3">
        <v>398</v>
      </c>
      <c r="D11" s="3">
        <v>382.85</v>
      </c>
      <c r="E11" s="3">
        <v>382.85</v>
      </c>
      <c r="F11" s="3">
        <v>393.3</v>
      </c>
      <c r="H11" s="10">
        <f t="shared" si="0"/>
        <v>2.7295285359801458E-2</v>
      </c>
    </row>
    <row r="12" spans="1:12">
      <c r="A12" s="2">
        <v>45734</v>
      </c>
      <c r="B12" s="3">
        <v>380</v>
      </c>
      <c r="C12" s="3">
        <v>384</v>
      </c>
      <c r="D12" s="3">
        <v>377.25</v>
      </c>
      <c r="E12" s="3">
        <v>377.95</v>
      </c>
      <c r="F12" s="3">
        <v>382.85</v>
      </c>
      <c r="H12" s="10">
        <f t="shared" si="0"/>
        <v>1.2964677867442874E-2</v>
      </c>
    </row>
    <row r="13" spans="1:12">
      <c r="A13" s="2">
        <v>45733</v>
      </c>
      <c r="B13" s="3">
        <v>389</v>
      </c>
      <c r="C13" s="3">
        <v>391.2</v>
      </c>
      <c r="D13" s="3">
        <v>376</v>
      </c>
      <c r="E13" s="3">
        <v>387.55</v>
      </c>
      <c r="F13" s="3">
        <v>377.95</v>
      </c>
      <c r="H13" s="10">
        <f t="shared" si="0"/>
        <v>-2.4770997290672229E-2</v>
      </c>
    </row>
    <row r="14" spans="1:12">
      <c r="A14" s="2">
        <v>45729</v>
      </c>
      <c r="B14" s="3">
        <v>390</v>
      </c>
      <c r="C14" s="3">
        <v>394.65</v>
      </c>
      <c r="D14" s="3">
        <v>385.1</v>
      </c>
      <c r="E14" s="3">
        <v>385.55</v>
      </c>
      <c r="F14" s="3">
        <v>387.55</v>
      </c>
      <c r="H14" s="10">
        <f t="shared" si="0"/>
        <v>5.1873946310465567E-3</v>
      </c>
    </row>
    <row r="15" spans="1:12">
      <c r="A15" s="2">
        <v>45728</v>
      </c>
      <c r="B15" s="3">
        <v>384</v>
      </c>
      <c r="C15" s="3">
        <v>399.9</v>
      </c>
      <c r="D15" s="3">
        <v>382.5</v>
      </c>
      <c r="E15" s="3">
        <v>382</v>
      </c>
      <c r="F15" s="3">
        <v>385.55</v>
      </c>
      <c r="H15" s="10">
        <f t="shared" si="0"/>
        <v>9.2931937172775168E-3</v>
      </c>
    </row>
    <row r="16" spans="1:12">
      <c r="A16" s="2">
        <v>45727</v>
      </c>
      <c r="B16" s="3">
        <v>380</v>
      </c>
      <c r="C16" s="3">
        <v>384.95</v>
      </c>
      <c r="D16" s="3">
        <v>377.3</v>
      </c>
      <c r="E16" s="3">
        <v>383.8</v>
      </c>
      <c r="F16" s="3">
        <v>382</v>
      </c>
      <c r="H16" s="10">
        <f t="shared" si="0"/>
        <v>-4.6899426784784036E-3</v>
      </c>
    </row>
    <row r="17" spans="1:8">
      <c r="A17" s="2">
        <v>45726</v>
      </c>
      <c r="B17" s="3">
        <v>390</v>
      </c>
      <c r="C17" s="3">
        <v>393.05</v>
      </c>
      <c r="D17" s="3">
        <v>380</v>
      </c>
      <c r="E17" s="3">
        <v>389</v>
      </c>
      <c r="F17" s="3">
        <v>383.8</v>
      </c>
      <c r="H17" s="10">
        <f t="shared" si="0"/>
        <v>-1.3367609254498685E-2</v>
      </c>
    </row>
    <row r="18" spans="1:8">
      <c r="A18" s="2">
        <v>45723</v>
      </c>
      <c r="B18" s="3">
        <v>392.75</v>
      </c>
      <c r="C18" s="3">
        <v>395.6</v>
      </c>
      <c r="D18" s="3">
        <v>387.1</v>
      </c>
      <c r="E18" s="3">
        <v>393.6</v>
      </c>
      <c r="F18" s="3">
        <v>389</v>
      </c>
      <c r="H18" s="10">
        <f t="shared" si="0"/>
        <v>-1.1686991869918756E-2</v>
      </c>
    </row>
    <row r="19" spans="1:8">
      <c r="A19" s="2">
        <v>45722</v>
      </c>
      <c r="B19" s="3">
        <v>390</v>
      </c>
      <c r="C19" s="3">
        <v>396.9</v>
      </c>
      <c r="D19" s="3">
        <v>389</v>
      </c>
      <c r="E19" s="3">
        <v>385.75</v>
      </c>
      <c r="F19" s="3">
        <v>393.6</v>
      </c>
      <c r="H19" s="10">
        <f t="shared" si="0"/>
        <v>2.0349967595593061E-2</v>
      </c>
    </row>
    <row r="20" spans="1:8">
      <c r="A20" s="2">
        <v>45721</v>
      </c>
      <c r="B20" s="3">
        <v>371.95</v>
      </c>
      <c r="C20" s="3">
        <v>389</v>
      </c>
      <c r="D20" s="3">
        <v>370</v>
      </c>
      <c r="E20" s="3">
        <v>370.2</v>
      </c>
      <c r="F20" s="3">
        <v>385.75</v>
      </c>
      <c r="H20" s="10">
        <f t="shared" si="0"/>
        <v>4.2004321988114567E-2</v>
      </c>
    </row>
    <row r="21" spans="1:8">
      <c r="A21" s="2">
        <v>45720</v>
      </c>
      <c r="B21" s="3">
        <v>369.6</v>
      </c>
      <c r="C21" s="3">
        <v>372.95</v>
      </c>
      <c r="D21" s="3">
        <v>364.5</v>
      </c>
      <c r="E21" s="3">
        <v>372</v>
      </c>
      <c r="F21" s="3">
        <v>370.2</v>
      </c>
      <c r="H21" s="10">
        <f t="shared" si="0"/>
        <v>-4.8387096774193854E-3</v>
      </c>
    </row>
    <row r="22" spans="1:8">
      <c r="A22" s="2">
        <v>45719</v>
      </c>
      <c r="B22" s="3">
        <v>370.35</v>
      </c>
      <c r="C22" s="3">
        <v>375</v>
      </c>
      <c r="D22" s="3">
        <v>360.25</v>
      </c>
      <c r="E22" s="3">
        <v>370.35</v>
      </c>
      <c r="F22" s="3">
        <v>372</v>
      </c>
      <c r="H22" s="10">
        <f t="shared" si="0"/>
        <v>4.4552450384770549E-3</v>
      </c>
    </row>
    <row r="23" spans="1:8">
      <c r="A23" s="2">
        <v>45716</v>
      </c>
      <c r="B23" s="3">
        <v>384</v>
      </c>
      <c r="C23" s="3">
        <v>384</v>
      </c>
      <c r="D23" s="3">
        <v>367</v>
      </c>
      <c r="E23" s="3">
        <v>379.85</v>
      </c>
      <c r="F23" s="3">
        <v>370.35</v>
      </c>
      <c r="H23" s="10">
        <f t="shared" si="0"/>
        <v>-2.5009872318020269E-2</v>
      </c>
    </row>
    <row r="24" spans="1:8">
      <c r="A24" s="2">
        <v>45715</v>
      </c>
      <c r="B24" s="3">
        <v>389</v>
      </c>
      <c r="C24" s="3">
        <v>401.9</v>
      </c>
      <c r="D24" s="3">
        <v>374</v>
      </c>
      <c r="E24" s="3">
        <v>394.4</v>
      </c>
      <c r="F24" s="3">
        <v>379.85</v>
      </c>
      <c r="H24" s="10">
        <f t="shared" si="0"/>
        <v>-3.6891480730223011E-2</v>
      </c>
    </row>
    <row r="25" spans="1:8">
      <c r="A25" s="2">
        <v>45713</v>
      </c>
      <c r="B25" s="3">
        <v>405.05</v>
      </c>
      <c r="C25" s="3">
        <v>407.45</v>
      </c>
      <c r="D25" s="3">
        <v>385.25</v>
      </c>
      <c r="E25" s="3">
        <v>406.65</v>
      </c>
      <c r="F25" s="3">
        <v>394.4</v>
      </c>
      <c r="H25" s="10">
        <f t="shared" si="0"/>
        <v>-3.0124185417435143E-2</v>
      </c>
    </row>
    <row r="26" spans="1:8">
      <c r="A26" s="2">
        <v>45712</v>
      </c>
      <c r="B26" s="3">
        <v>404.05</v>
      </c>
      <c r="C26" s="3">
        <v>410.8</v>
      </c>
      <c r="D26" s="3">
        <v>396.05</v>
      </c>
      <c r="E26" s="3">
        <v>405.3</v>
      </c>
      <c r="F26" s="3">
        <v>406.65</v>
      </c>
      <c r="H26" s="10">
        <f t="shared" si="0"/>
        <v>3.3308660251664592E-3</v>
      </c>
    </row>
    <row r="27" spans="1:8">
      <c r="A27" s="2">
        <v>45709</v>
      </c>
      <c r="B27" s="3">
        <v>400.55</v>
      </c>
      <c r="C27" s="3">
        <v>411.95</v>
      </c>
      <c r="D27" s="3">
        <v>400.55</v>
      </c>
      <c r="E27" s="3">
        <v>400.55</v>
      </c>
      <c r="F27" s="3">
        <v>405.3</v>
      </c>
      <c r="H27" s="10">
        <f t="shared" si="0"/>
        <v>1.1858694295343902E-2</v>
      </c>
    </row>
    <row r="28" spans="1:8">
      <c r="A28" s="2">
        <v>45708</v>
      </c>
      <c r="B28" s="3">
        <v>395</v>
      </c>
      <c r="C28" s="3">
        <v>401.2</v>
      </c>
      <c r="D28" s="3">
        <v>391.7</v>
      </c>
      <c r="E28" s="3">
        <v>395.15</v>
      </c>
      <c r="F28" s="3">
        <v>400.55</v>
      </c>
      <c r="H28" s="10">
        <f t="shared" si="0"/>
        <v>1.3665696570922521E-2</v>
      </c>
    </row>
    <row r="29" spans="1:8">
      <c r="A29" s="2">
        <v>45707</v>
      </c>
      <c r="B29" s="3">
        <v>391</v>
      </c>
      <c r="C29" s="3">
        <v>397.6</v>
      </c>
      <c r="D29" s="3">
        <v>389.05</v>
      </c>
      <c r="E29" s="3">
        <v>392.75</v>
      </c>
      <c r="F29" s="3">
        <v>395.15</v>
      </c>
      <c r="H29" s="10">
        <f t="shared" si="0"/>
        <v>6.1107574793124817E-3</v>
      </c>
    </row>
    <row r="30" spans="1:8">
      <c r="A30" s="2">
        <v>45706</v>
      </c>
      <c r="B30" s="3">
        <v>390</v>
      </c>
      <c r="C30" s="3">
        <v>393.75</v>
      </c>
      <c r="D30" s="3">
        <v>386.55</v>
      </c>
      <c r="E30" s="3">
        <v>391.45</v>
      </c>
      <c r="F30" s="3">
        <v>392.75</v>
      </c>
      <c r="H30" s="10">
        <f t="shared" si="0"/>
        <v>3.3209860774045508E-3</v>
      </c>
    </row>
    <row r="31" spans="1:8">
      <c r="A31" s="2">
        <v>45705</v>
      </c>
      <c r="B31" s="3">
        <v>391.55</v>
      </c>
      <c r="C31" s="3">
        <v>395.5</v>
      </c>
      <c r="D31" s="3">
        <v>385.1</v>
      </c>
      <c r="E31" s="3">
        <v>393.5</v>
      </c>
      <c r="F31" s="3">
        <v>391.45</v>
      </c>
      <c r="H31" s="10">
        <f t="shared" si="0"/>
        <v>-5.2096569250317951E-3</v>
      </c>
    </row>
    <row r="32" spans="1:8">
      <c r="A32" s="2">
        <v>45702</v>
      </c>
      <c r="B32" s="3">
        <v>407.5</v>
      </c>
      <c r="C32" s="3">
        <v>407.95</v>
      </c>
      <c r="D32" s="3">
        <v>388.8</v>
      </c>
      <c r="E32" s="3">
        <v>402.85</v>
      </c>
      <c r="F32" s="3">
        <v>393.5</v>
      </c>
      <c r="H32" s="10">
        <f t="shared" si="0"/>
        <v>-2.3209631376442899E-2</v>
      </c>
    </row>
    <row r="33" spans="1:8">
      <c r="A33" s="2">
        <v>45701</v>
      </c>
      <c r="B33" s="3">
        <v>405.2</v>
      </c>
      <c r="C33" s="3">
        <v>416.9</v>
      </c>
      <c r="D33" s="3">
        <v>400.15</v>
      </c>
      <c r="E33" s="3">
        <v>405.25</v>
      </c>
      <c r="F33" s="3">
        <v>402.85</v>
      </c>
      <c r="H33" s="10">
        <f t="shared" si="0"/>
        <v>-5.922270203577982E-3</v>
      </c>
    </row>
    <row r="34" spans="1:8">
      <c r="A34" s="2">
        <v>45700</v>
      </c>
      <c r="B34" s="3">
        <v>424.95</v>
      </c>
      <c r="C34" s="3">
        <v>424.95</v>
      </c>
      <c r="D34" s="3">
        <v>404.45</v>
      </c>
      <c r="E34" s="3">
        <v>421.25</v>
      </c>
      <c r="F34" s="3">
        <v>405.25</v>
      </c>
      <c r="H34" s="10">
        <f t="shared" si="0"/>
        <v>-3.7982195845697328E-2</v>
      </c>
    </row>
    <row r="35" spans="1:8">
      <c r="A35" s="2">
        <v>45699</v>
      </c>
      <c r="B35" s="3">
        <v>439.65</v>
      </c>
      <c r="C35" s="3">
        <v>441.85</v>
      </c>
      <c r="D35" s="3">
        <v>420</v>
      </c>
      <c r="E35" s="3">
        <v>443.65</v>
      </c>
      <c r="F35" s="3">
        <v>421.25</v>
      </c>
      <c r="H35" s="10">
        <f t="shared" si="0"/>
        <v>-5.0490251324242036E-2</v>
      </c>
    </row>
    <row r="36" spans="1:8">
      <c r="A36" s="2">
        <v>45698</v>
      </c>
      <c r="B36" s="3">
        <v>456.3</v>
      </c>
      <c r="C36" s="3">
        <v>461.25</v>
      </c>
      <c r="D36" s="3">
        <v>440.95</v>
      </c>
      <c r="E36" s="3">
        <v>460.8</v>
      </c>
      <c r="F36" s="3">
        <v>443.65</v>
      </c>
      <c r="H36" s="10">
        <f t="shared" si="0"/>
        <v>-3.7217881944444517E-2</v>
      </c>
    </row>
    <row r="37" spans="1:8">
      <c r="A37" s="2">
        <v>45695</v>
      </c>
      <c r="B37" s="3">
        <v>470.5</v>
      </c>
      <c r="C37" s="3">
        <v>476.4</v>
      </c>
      <c r="D37" s="3">
        <v>456.3</v>
      </c>
      <c r="E37" s="3">
        <v>470.3</v>
      </c>
      <c r="F37" s="3">
        <v>460.8</v>
      </c>
      <c r="H37" s="10">
        <f t="shared" si="0"/>
        <v>-2.0199872421858389E-2</v>
      </c>
    </row>
    <row r="38" spans="1:8">
      <c r="A38" s="2">
        <v>45694</v>
      </c>
      <c r="B38" s="3">
        <v>469.95</v>
      </c>
      <c r="C38" s="3">
        <v>477.85</v>
      </c>
      <c r="D38" s="3">
        <v>462.35</v>
      </c>
      <c r="E38" s="3">
        <v>478.2</v>
      </c>
      <c r="F38" s="3">
        <v>470.3</v>
      </c>
      <c r="H38" s="10">
        <f t="shared" si="0"/>
        <v>-1.652028439983266E-2</v>
      </c>
    </row>
    <row r="39" spans="1:8">
      <c r="A39" s="2">
        <v>45693</v>
      </c>
      <c r="B39" s="3">
        <v>470.95</v>
      </c>
      <c r="C39" s="3">
        <v>482.75</v>
      </c>
      <c r="D39" s="3">
        <v>467.6</v>
      </c>
      <c r="E39" s="3">
        <v>467.55</v>
      </c>
      <c r="F39" s="3">
        <v>478.2</v>
      </c>
      <c r="H39" s="10">
        <f t="shared" si="0"/>
        <v>2.2778312479948621E-2</v>
      </c>
    </row>
    <row r="40" spans="1:8">
      <c r="A40" s="2">
        <v>45692</v>
      </c>
      <c r="B40" s="3">
        <v>464.85</v>
      </c>
      <c r="C40" s="3">
        <v>468.8</v>
      </c>
      <c r="D40" s="3">
        <v>457.3</v>
      </c>
      <c r="E40" s="3">
        <v>461.4</v>
      </c>
      <c r="F40" s="3">
        <v>467.55</v>
      </c>
      <c r="H40" s="10">
        <f t="shared" si="0"/>
        <v>1.3328998699609958E-2</v>
      </c>
    </row>
    <row r="41" spans="1:8">
      <c r="A41" s="2">
        <v>45691</v>
      </c>
      <c r="B41" s="3">
        <v>451.3</v>
      </c>
      <c r="C41" s="3">
        <v>464.75</v>
      </c>
      <c r="D41" s="3">
        <v>446.3</v>
      </c>
      <c r="E41" s="3">
        <v>459.5</v>
      </c>
      <c r="F41" s="3">
        <v>461.4</v>
      </c>
      <c r="H41" s="10">
        <f t="shared" si="0"/>
        <v>4.1349292709466313E-3</v>
      </c>
    </row>
    <row r="42" spans="1:8">
      <c r="A42" s="2">
        <v>45689</v>
      </c>
      <c r="B42" s="3">
        <v>487</v>
      </c>
      <c r="C42" s="3">
        <v>489</v>
      </c>
      <c r="D42" s="3">
        <v>454.55</v>
      </c>
      <c r="E42" s="3">
        <v>486</v>
      </c>
      <c r="F42" s="3">
        <v>459.5</v>
      </c>
      <c r="H42" s="10">
        <f t="shared" si="0"/>
        <v>-5.4526748971193417E-2</v>
      </c>
    </row>
    <row r="43" spans="1:8">
      <c r="A43" s="2">
        <v>45688</v>
      </c>
      <c r="B43" s="3">
        <v>476.55</v>
      </c>
      <c r="C43" s="3">
        <v>486.85</v>
      </c>
      <c r="D43" s="3">
        <v>475.1</v>
      </c>
      <c r="E43" s="3">
        <v>478.8</v>
      </c>
      <c r="F43" s="3">
        <v>486</v>
      </c>
      <c r="H43" s="10">
        <f t="shared" si="0"/>
        <v>1.5037593984962383E-2</v>
      </c>
    </row>
    <row r="44" spans="1:8">
      <c r="A44" s="2">
        <v>45687</v>
      </c>
      <c r="B44" s="3">
        <v>474.15</v>
      </c>
      <c r="C44" s="3">
        <v>485.45</v>
      </c>
      <c r="D44" s="3">
        <v>468.25</v>
      </c>
      <c r="E44" s="3">
        <v>469.7</v>
      </c>
      <c r="F44" s="3">
        <v>478.8</v>
      </c>
      <c r="H44" s="10">
        <f t="shared" si="0"/>
        <v>1.9374068554396471E-2</v>
      </c>
    </row>
    <row r="45" spans="1:8">
      <c r="A45" s="2">
        <v>45686</v>
      </c>
      <c r="B45" s="3">
        <v>467.6</v>
      </c>
      <c r="C45" s="3">
        <v>479.5</v>
      </c>
      <c r="D45" s="3">
        <v>464.4</v>
      </c>
      <c r="E45" s="3">
        <v>466.6</v>
      </c>
      <c r="F45" s="3">
        <v>469.7</v>
      </c>
      <c r="H45" s="10">
        <f t="shared" si="0"/>
        <v>6.6438062580367893E-3</v>
      </c>
    </row>
    <row r="46" spans="1:8">
      <c r="A46" s="2">
        <v>45685</v>
      </c>
      <c r="B46" s="3">
        <v>485</v>
      </c>
      <c r="C46" s="3">
        <v>487.8</v>
      </c>
      <c r="D46" s="3">
        <v>465.25</v>
      </c>
      <c r="E46" s="3">
        <v>483.95</v>
      </c>
      <c r="F46" s="3">
        <v>466.6</v>
      </c>
      <c r="H46" s="10">
        <f t="shared" si="0"/>
        <v>-3.5850811034197676E-2</v>
      </c>
    </row>
    <row r="47" spans="1:8">
      <c r="A47" s="2">
        <v>45684</v>
      </c>
      <c r="B47" s="3">
        <v>494</v>
      </c>
      <c r="C47" s="3">
        <v>495</v>
      </c>
      <c r="D47" s="3">
        <v>482</v>
      </c>
      <c r="E47" s="3">
        <v>494.75</v>
      </c>
      <c r="F47" s="3">
        <v>483.95</v>
      </c>
      <c r="H47" s="10">
        <f t="shared" si="0"/>
        <v>-2.1829206670035396E-2</v>
      </c>
    </row>
    <row r="48" spans="1:8">
      <c r="A48" s="2">
        <v>45681</v>
      </c>
      <c r="B48" s="3">
        <v>503</v>
      </c>
      <c r="C48" s="3">
        <v>506</v>
      </c>
      <c r="D48" s="3">
        <v>493</v>
      </c>
      <c r="E48" s="3">
        <v>503.25</v>
      </c>
      <c r="F48" s="3">
        <v>494.75</v>
      </c>
      <c r="H48" s="10">
        <f t="shared" si="0"/>
        <v>-1.6890213611525089E-2</v>
      </c>
    </row>
    <row r="49" spans="1:8">
      <c r="A49" s="2">
        <v>45680</v>
      </c>
      <c r="B49" s="3">
        <v>494.9</v>
      </c>
      <c r="C49" s="3">
        <v>504.5</v>
      </c>
      <c r="D49" s="3">
        <v>490.7</v>
      </c>
      <c r="E49" s="3">
        <v>495.05</v>
      </c>
      <c r="F49" s="3">
        <v>503.25</v>
      </c>
      <c r="H49" s="10">
        <f t="shared" si="0"/>
        <v>1.656398343601654E-2</v>
      </c>
    </row>
    <row r="50" spans="1:8">
      <c r="A50" s="2">
        <v>45679</v>
      </c>
      <c r="B50" s="3">
        <v>497.25</v>
      </c>
      <c r="C50" s="3">
        <v>501.3</v>
      </c>
      <c r="D50" s="3">
        <v>488.6</v>
      </c>
      <c r="E50" s="3">
        <v>499.25</v>
      </c>
      <c r="F50" s="3">
        <v>495.05</v>
      </c>
      <c r="H50" s="10">
        <f t="shared" si="0"/>
        <v>-8.4126189283925661E-3</v>
      </c>
    </row>
    <row r="51" spans="1:8">
      <c r="A51" s="2">
        <v>45678</v>
      </c>
      <c r="B51" s="3">
        <v>500.05</v>
      </c>
      <c r="C51" s="3">
        <v>504.3</v>
      </c>
      <c r="D51" s="3">
        <v>493.9</v>
      </c>
      <c r="E51" s="3">
        <v>499.9</v>
      </c>
      <c r="F51" s="3">
        <v>499.25</v>
      </c>
      <c r="H51" s="10">
        <f t="shared" si="0"/>
        <v>-1.3002600520103567E-3</v>
      </c>
    </row>
    <row r="52" spans="1:8">
      <c r="A52" s="2">
        <v>45677</v>
      </c>
      <c r="B52" s="3">
        <v>500</v>
      </c>
      <c r="C52" s="3">
        <v>501.75</v>
      </c>
      <c r="D52" s="3">
        <v>492.75</v>
      </c>
      <c r="E52" s="3">
        <v>500</v>
      </c>
      <c r="F52" s="3">
        <v>499.9</v>
      </c>
      <c r="H52" s="10">
        <f t="shared" si="0"/>
        <v>-2.0000000000004546E-4</v>
      </c>
    </row>
    <row r="53" spans="1:8">
      <c r="A53" s="2">
        <v>45674</v>
      </c>
      <c r="B53" s="3">
        <v>489.2</v>
      </c>
      <c r="C53" s="3">
        <v>505.5</v>
      </c>
      <c r="D53" s="3">
        <v>486.2</v>
      </c>
      <c r="E53" s="3">
        <v>489.2</v>
      </c>
      <c r="F53" s="3">
        <v>500</v>
      </c>
      <c r="H53" s="10">
        <f t="shared" si="0"/>
        <v>2.2076860179885551E-2</v>
      </c>
    </row>
    <row r="54" spans="1:8">
      <c r="A54" s="2">
        <v>45673</v>
      </c>
      <c r="B54" s="3">
        <v>491.15</v>
      </c>
      <c r="C54" s="3">
        <v>495</v>
      </c>
      <c r="D54" s="3">
        <v>486</v>
      </c>
      <c r="E54" s="3">
        <v>490.9</v>
      </c>
      <c r="F54" s="3">
        <v>489.2</v>
      </c>
      <c r="H54" s="10">
        <f t="shared" si="0"/>
        <v>-3.4630270930942936E-3</v>
      </c>
    </row>
    <row r="55" spans="1:8">
      <c r="A55" s="2">
        <v>45672</v>
      </c>
      <c r="B55" s="3">
        <v>487.05</v>
      </c>
      <c r="C55" s="3">
        <v>492</v>
      </c>
      <c r="D55" s="3">
        <v>484</v>
      </c>
      <c r="E55" s="3">
        <v>487.05</v>
      </c>
      <c r="F55" s="3">
        <v>490.9</v>
      </c>
      <c r="H55" s="10">
        <f t="shared" si="0"/>
        <v>7.9047325736576659E-3</v>
      </c>
    </row>
    <row r="56" spans="1:8">
      <c r="A56" s="2">
        <v>45671</v>
      </c>
      <c r="B56" s="3">
        <v>470</v>
      </c>
      <c r="C56" s="3">
        <v>489.85</v>
      </c>
      <c r="D56" s="3">
        <v>469.9</v>
      </c>
      <c r="E56" s="3">
        <v>471.05</v>
      </c>
      <c r="F56" s="3">
        <v>487.05</v>
      </c>
      <c r="H56" s="10">
        <f t="shared" si="0"/>
        <v>3.3966670204861479E-2</v>
      </c>
    </row>
    <row r="57" spans="1:8">
      <c r="A57" s="2">
        <v>45670</v>
      </c>
      <c r="B57" s="3">
        <v>486</v>
      </c>
      <c r="C57" s="3">
        <v>487.35</v>
      </c>
      <c r="D57" s="3">
        <v>466.05</v>
      </c>
      <c r="E57" s="3">
        <v>486.05</v>
      </c>
      <c r="F57" s="3">
        <v>471.05</v>
      </c>
      <c r="H57" s="10">
        <f t="shared" si="0"/>
        <v>-3.0861022528546445E-2</v>
      </c>
    </row>
    <row r="58" spans="1:8">
      <c r="A58" s="2">
        <v>45667</v>
      </c>
      <c r="B58" s="3">
        <v>498.8</v>
      </c>
      <c r="C58" s="3">
        <v>499.8</v>
      </c>
      <c r="D58" s="3">
        <v>484.85</v>
      </c>
      <c r="E58" s="3">
        <v>498.8</v>
      </c>
      <c r="F58" s="3">
        <v>486.05</v>
      </c>
      <c r="H58" s="10">
        <f t="shared" si="0"/>
        <v>-2.5561347233360062E-2</v>
      </c>
    </row>
    <row r="59" spans="1:8">
      <c r="A59" s="2">
        <v>45666</v>
      </c>
      <c r="B59" s="3">
        <v>502</v>
      </c>
      <c r="C59" s="3">
        <v>506.85</v>
      </c>
      <c r="D59" s="3">
        <v>494.85</v>
      </c>
      <c r="E59" s="3">
        <v>500.85</v>
      </c>
      <c r="F59" s="3">
        <v>498.8</v>
      </c>
      <c r="H59" s="10">
        <f t="shared" si="0"/>
        <v>-4.0930418288909077E-3</v>
      </c>
    </row>
    <row r="60" spans="1:8">
      <c r="A60" s="2">
        <v>45665</v>
      </c>
      <c r="B60" s="3">
        <v>506.05</v>
      </c>
      <c r="C60" s="3">
        <v>510.2</v>
      </c>
      <c r="D60" s="3">
        <v>498.5</v>
      </c>
      <c r="E60" s="3">
        <v>507.9</v>
      </c>
      <c r="F60" s="3">
        <v>500.85</v>
      </c>
      <c r="H60" s="10">
        <f t="shared" si="0"/>
        <v>-1.388068517424681E-2</v>
      </c>
    </row>
    <row r="61" spans="1:8">
      <c r="A61" s="2">
        <v>45664</v>
      </c>
      <c r="B61" s="3">
        <v>509</v>
      </c>
      <c r="C61" s="3">
        <v>515.45000000000005</v>
      </c>
      <c r="D61" s="3">
        <v>505.5</v>
      </c>
      <c r="E61" s="3">
        <v>509</v>
      </c>
      <c r="F61" s="3">
        <v>507.9</v>
      </c>
      <c r="H61" s="10">
        <f t="shared" si="0"/>
        <v>-2.161100196463699E-3</v>
      </c>
    </row>
    <row r="62" spans="1:8">
      <c r="A62" s="2">
        <v>45663</v>
      </c>
      <c r="B62" s="3">
        <v>514.15</v>
      </c>
      <c r="C62" s="3">
        <v>515.85</v>
      </c>
      <c r="D62" s="3">
        <v>503.3</v>
      </c>
      <c r="E62" s="3">
        <v>514.15</v>
      </c>
      <c r="F62" s="3">
        <v>509</v>
      </c>
      <c r="H62" s="10">
        <f t="shared" si="0"/>
        <v>-1.0016532140425902E-2</v>
      </c>
    </row>
    <row r="63" spans="1:8">
      <c r="A63" s="2">
        <v>45660</v>
      </c>
      <c r="B63" s="3">
        <v>503.05</v>
      </c>
      <c r="C63" s="3">
        <v>517.9</v>
      </c>
      <c r="D63" s="3">
        <v>503.05</v>
      </c>
      <c r="E63" s="3">
        <v>508.25</v>
      </c>
      <c r="F63" s="3">
        <v>514.15</v>
      </c>
      <c r="H63" s="10">
        <f t="shared" si="0"/>
        <v>1.1608460403344767E-2</v>
      </c>
    </row>
    <row r="64" spans="1:8">
      <c r="A64" s="2">
        <v>45659</v>
      </c>
      <c r="B64" s="3">
        <v>505.1</v>
      </c>
      <c r="C64" s="3">
        <v>512.45000000000005</v>
      </c>
      <c r="D64" s="3">
        <v>501.25</v>
      </c>
      <c r="E64" s="3">
        <v>503.95</v>
      </c>
      <c r="F64" s="3">
        <v>508.25</v>
      </c>
      <c r="H64" s="10">
        <f t="shared" si="0"/>
        <v>8.532592519099139E-3</v>
      </c>
    </row>
    <row r="65" spans="1:8">
      <c r="A65" s="2">
        <v>45658</v>
      </c>
      <c r="B65" s="3">
        <v>502.25</v>
      </c>
      <c r="C65" s="3">
        <v>505</v>
      </c>
      <c r="D65" s="3">
        <v>494.1</v>
      </c>
      <c r="E65" s="3">
        <v>498.7</v>
      </c>
      <c r="F65" s="3">
        <v>503.95</v>
      </c>
      <c r="H65" s="10">
        <f t="shared" si="0"/>
        <v>1.0527371165029076E-2</v>
      </c>
    </row>
    <row r="66" spans="1:8">
      <c r="A66" s="2">
        <v>45657</v>
      </c>
      <c r="B66" s="3">
        <v>487</v>
      </c>
      <c r="C66" s="3">
        <v>500</v>
      </c>
      <c r="D66" s="3">
        <v>479.15</v>
      </c>
      <c r="E66" s="3">
        <v>498.1</v>
      </c>
      <c r="F66" s="3">
        <v>498.7</v>
      </c>
      <c r="H66" s="10">
        <f t="shared" si="0"/>
        <v>1.2045773940975023E-3</v>
      </c>
    </row>
    <row r="67" spans="1:8">
      <c r="A67" s="2">
        <v>45656</v>
      </c>
      <c r="B67" s="3">
        <v>496.3</v>
      </c>
      <c r="C67" s="3">
        <v>507</v>
      </c>
      <c r="D67" s="3">
        <v>494.75</v>
      </c>
      <c r="E67" s="3">
        <v>502.8</v>
      </c>
      <c r="F67" s="3">
        <v>498.1</v>
      </c>
      <c r="H67" s="10">
        <f t="shared" si="0"/>
        <v>-9.347653142402523E-3</v>
      </c>
    </row>
    <row r="68" spans="1:8">
      <c r="A68" s="2">
        <v>45653</v>
      </c>
      <c r="B68" s="3">
        <v>509</v>
      </c>
      <c r="C68" s="3">
        <v>511.1</v>
      </c>
      <c r="D68" s="3">
        <v>501.8</v>
      </c>
      <c r="E68" s="3">
        <v>509</v>
      </c>
      <c r="F68" s="3">
        <v>502.8</v>
      </c>
      <c r="H68" s="10">
        <f t="shared" si="0"/>
        <v>-1.2180746561886028E-2</v>
      </c>
    </row>
    <row r="69" spans="1:8">
      <c r="A69" s="2">
        <v>45652</v>
      </c>
      <c r="B69" s="3">
        <v>506</v>
      </c>
      <c r="C69" s="3">
        <v>511.4</v>
      </c>
      <c r="D69" s="3">
        <v>501.2</v>
      </c>
      <c r="E69" s="3">
        <v>505.85</v>
      </c>
      <c r="F69" s="3">
        <v>509</v>
      </c>
      <c r="H69" s="10">
        <f t="shared" ref="H69:H132" si="1">(F69-E69)/E69</f>
        <v>6.2271424335276805E-3</v>
      </c>
    </row>
    <row r="70" spans="1:8">
      <c r="A70" s="2">
        <v>45650</v>
      </c>
      <c r="B70" s="3">
        <v>498.7</v>
      </c>
      <c r="C70" s="3">
        <v>511.95</v>
      </c>
      <c r="D70" s="3">
        <v>498</v>
      </c>
      <c r="E70" s="3">
        <v>498.7</v>
      </c>
      <c r="F70" s="3">
        <v>505.85</v>
      </c>
      <c r="H70" s="10">
        <f t="shared" si="1"/>
        <v>1.4337276919992047E-2</v>
      </c>
    </row>
    <row r="71" spans="1:8">
      <c r="A71" s="2">
        <v>45649</v>
      </c>
      <c r="B71" s="3">
        <v>501.7</v>
      </c>
      <c r="C71" s="3">
        <v>505.75</v>
      </c>
      <c r="D71" s="3">
        <v>491</v>
      </c>
      <c r="E71" s="3">
        <v>499.8</v>
      </c>
      <c r="F71" s="3">
        <v>498.7</v>
      </c>
      <c r="H71" s="10">
        <f t="shared" si="1"/>
        <v>-2.2008803521409016E-3</v>
      </c>
    </row>
    <row r="72" spans="1:8">
      <c r="A72" s="2">
        <v>45646</v>
      </c>
      <c r="B72" s="3">
        <v>506.85</v>
      </c>
      <c r="C72" s="3">
        <v>510.35</v>
      </c>
      <c r="D72" s="3">
        <v>498.45</v>
      </c>
      <c r="E72" s="3">
        <v>505.85</v>
      </c>
      <c r="F72" s="3">
        <v>499.8</v>
      </c>
      <c r="H72" s="10">
        <f t="shared" si="1"/>
        <v>-1.1960067213600892E-2</v>
      </c>
    </row>
    <row r="73" spans="1:8">
      <c r="A73" s="2">
        <v>45645</v>
      </c>
      <c r="B73" s="3">
        <v>493.25</v>
      </c>
      <c r="C73" s="3">
        <v>508.85</v>
      </c>
      <c r="D73" s="3">
        <v>493</v>
      </c>
      <c r="E73" s="3">
        <v>503.1</v>
      </c>
      <c r="F73" s="3">
        <v>505.85</v>
      </c>
      <c r="H73" s="10">
        <f t="shared" si="1"/>
        <v>5.4661101172729081E-3</v>
      </c>
    </row>
    <row r="74" spans="1:8">
      <c r="A74" s="2">
        <v>45644</v>
      </c>
      <c r="B74" s="3">
        <v>504.8</v>
      </c>
      <c r="C74" s="3">
        <v>507.45</v>
      </c>
      <c r="D74" s="3">
        <v>498</v>
      </c>
      <c r="E74" s="3">
        <v>507.55</v>
      </c>
      <c r="F74" s="3">
        <v>503.1</v>
      </c>
      <c r="H74" s="10">
        <f t="shared" si="1"/>
        <v>-8.7676091025514508E-3</v>
      </c>
    </row>
    <row r="75" spans="1:8">
      <c r="A75" s="2">
        <v>45643</v>
      </c>
      <c r="B75" s="3">
        <v>519.6</v>
      </c>
      <c r="C75" s="3">
        <v>522.95000000000005</v>
      </c>
      <c r="D75" s="3">
        <v>503.25</v>
      </c>
      <c r="E75" s="3">
        <v>519.65</v>
      </c>
      <c r="F75" s="3">
        <v>507.55</v>
      </c>
      <c r="H75" s="10">
        <f t="shared" si="1"/>
        <v>-2.3284903300298213E-2</v>
      </c>
    </row>
    <row r="76" spans="1:8">
      <c r="A76" s="2">
        <v>45642</v>
      </c>
      <c r="B76" s="3">
        <v>511.95</v>
      </c>
      <c r="C76" s="3">
        <v>521.9</v>
      </c>
      <c r="D76" s="3">
        <v>507.85</v>
      </c>
      <c r="E76" s="3">
        <v>508.3</v>
      </c>
      <c r="F76" s="3">
        <v>519.65</v>
      </c>
      <c r="H76" s="10">
        <f t="shared" si="1"/>
        <v>2.2329333071020984E-2</v>
      </c>
    </row>
    <row r="77" spans="1:8">
      <c r="A77" s="2">
        <v>45639</v>
      </c>
      <c r="B77" s="3">
        <v>508</v>
      </c>
      <c r="C77" s="3">
        <v>509</v>
      </c>
      <c r="D77" s="3">
        <v>498.5</v>
      </c>
      <c r="E77" s="3">
        <v>509</v>
      </c>
      <c r="F77" s="3">
        <v>508.3</v>
      </c>
      <c r="H77" s="10">
        <f t="shared" si="1"/>
        <v>-1.3752455795677577E-3</v>
      </c>
    </row>
    <row r="78" spans="1:8">
      <c r="A78" s="2">
        <v>45638</v>
      </c>
      <c r="B78" s="3">
        <v>518.4</v>
      </c>
      <c r="C78" s="3">
        <v>519</v>
      </c>
      <c r="D78" s="3">
        <v>508</v>
      </c>
      <c r="E78" s="3">
        <v>518.4</v>
      </c>
      <c r="F78" s="3">
        <v>509</v>
      </c>
      <c r="H78" s="10">
        <f t="shared" si="1"/>
        <v>-1.8132716049382672E-2</v>
      </c>
    </row>
    <row r="79" spans="1:8">
      <c r="A79" s="2">
        <v>45637</v>
      </c>
      <c r="B79" s="3">
        <v>514</v>
      </c>
      <c r="C79" s="3">
        <v>524.25</v>
      </c>
      <c r="D79" s="3">
        <v>506.1</v>
      </c>
      <c r="E79" s="3">
        <v>511.95</v>
      </c>
      <c r="F79" s="3">
        <v>518.4</v>
      </c>
      <c r="H79" s="10">
        <f t="shared" si="1"/>
        <v>1.2598886610020487E-2</v>
      </c>
    </row>
    <row r="80" spans="1:8">
      <c r="A80" s="2">
        <v>45636</v>
      </c>
      <c r="B80" s="3">
        <v>508.15</v>
      </c>
      <c r="C80" s="3">
        <v>516.85</v>
      </c>
      <c r="D80" s="3">
        <v>504.65</v>
      </c>
      <c r="E80" s="3">
        <v>508.15</v>
      </c>
      <c r="F80" s="3">
        <v>511.95</v>
      </c>
      <c r="H80" s="10">
        <f t="shared" si="1"/>
        <v>7.4781068582111809E-3</v>
      </c>
    </row>
    <row r="81" spans="1:8">
      <c r="A81" s="2">
        <v>45635</v>
      </c>
      <c r="B81" s="3">
        <v>512.70000000000005</v>
      </c>
      <c r="C81" s="3">
        <v>520.29999999999995</v>
      </c>
      <c r="D81" s="3">
        <v>504.1</v>
      </c>
      <c r="E81" s="3">
        <v>512.70000000000005</v>
      </c>
      <c r="F81" s="3">
        <v>508.15</v>
      </c>
      <c r="H81" s="10">
        <f t="shared" si="1"/>
        <v>-8.874585527599118E-3</v>
      </c>
    </row>
    <row r="82" spans="1:8">
      <c r="A82" s="2">
        <v>45632</v>
      </c>
      <c r="B82" s="3">
        <v>505.95</v>
      </c>
      <c r="C82" s="3">
        <v>516</v>
      </c>
      <c r="D82" s="3">
        <v>500.2</v>
      </c>
      <c r="E82" s="3">
        <v>502.15</v>
      </c>
      <c r="F82" s="3">
        <v>512.70000000000005</v>
      </c>
      <c r="H82" s="10">
        <f t="shared" si="1"/>
        <v>2.100965846858522E-2</v>
      </c>
    </row>
    <row r="83" spans="1:8">
      <c r="A83" s="2">
        <v>45631</v>
      </c>
      <c r="B83" s="3">
        <v>499.5</v>
      </c>
      <c r="C83" s="3">
        <v>503.35</v>
      </c>
      <c r="D83" s="3">
        <v>493.3</v>
      </c>
      <c r="E83" s="3">
        <v>496.55</v>
      </c>
      <c r="F83" s="3">
        <v>502.15</v>
      </c>
      <c r="H83" s="10">
        <f t="shared" si="1"/>
        <v>1.1277816936864296E-2</v>
      </c>
    </row>
    <row r="84" spans="1:8">
      <c r="A84" s="2">
        <v>45630</v>
      </c>
      <c r="B84" s="3">
        <v>499.8</v>
      </c>
      <c r="C84" s="3">
        <v>504.75</v>
      </c>
      <c r="D84" s="3">
        <v>493.85</v>
      </c>
      <c r="E84" s="3">
        <v>497.8</v>
      </c>
      <c r="F84" s="3">
        <v>496.55</v>
      </c>
      <c r="H84" s="10">
        <f t="shared" si="1"/>
        <v>-2.5110486139011652E-3</v>
      </c>
    </row>
    <row r="85" spans="1:8">
      <c r="A85" s="2">
        <v>45629</v>
      </c>
      <c r="B85" s="3">
        <v>487.8</v>
      </c>
      <c r="C85" s="3">
        <v>499.8</v>
      </c>
      <c r="D85" s="3">
        <v>482.8</v>
      </c>
      <c r="E85" s="3">
        <v>480.5</v>
      </c>
      <c r="F85" s="3">
        <v>497.8</v>
      </c>
      <c r="H85" s="10">
        <f t="shared" si="1"/>
        <v>3.600416233090533E-2</v>
      </c>
    </row>
    <row r="86" spans="1:8">
      <c r="A86" s="2">
        <v>45628</v>
      </c>
      <c r="B86" s="3">
        <v>482.4</v>
      </c>
      <c r="C86" s="3">
        <v>482.4</v>
      </c>
      <c r="D86" s="3">
        <v>475.1</v>
      </c>
      <c r="E86" s="3">
        <v>479.75</v>
      </c>
      <c r="F86" s="3">
        <v>480.5</v>
      </c>
      <c r="H86" s="10">
        <f t="shared" si="1"/>
        <v>1.563314226159458E-3</v>
      </c>
    </row>
    <row r="87" spans="1:8">
      <c r="A87" s="2">
        <v>45625</v>
      </c>
      <c r="B87" s="3">
        <v>474.6</v>
      </c>
      <c r="C87" s="3">
        <v>481</v>
      </c>
      <c r="D87" s="3">
        <v>472.05</v>
      </c>
      <c r="E87" s="3">
        <v>472</v>
      </c>
      <c r="F87" s="3">
        <v>479.75</v>
      </c>
      <c r="H87" s="10">
        <f t="shared" si="1"/>
        <v>1.641949152542373E-2</v>
      </c>
    </row>
    <row r="88" spans="1:8">
      <c r="A88" s="2">
        <v>45624</v>
      </c>
      <c r="B88" s="3">
        <v>474.9</v>
      </c>
      <c r="C88" s="3">
        <v>476</v>
      </c>
      <c r="D88" s="3">
        <v>470.4</v>
      </c>
      <c r="E88" s="3">
        <v>472.15</v>
      </c>
      <c r="F88" s="3">
        <v>472</v>
      </c>
      <c r="H88" s="10">
        <f t="shared" si="1"/>
        <v>-3.1769564756958015E-4</v>
      </c>
    </row>
    <row r="89" spans="1:8">
      <c r="A89" s="2">
        <v>45623</v>
      </c>
      <c r="B89" s="3">
        <v>476</v>
      </c>
      <c r="C89" s="3">
        <v>476.6</v>
      </c>
      <c r="D89" s="3">
        <v>469.35</v>
      </c>
      <c r="E89" s="3">
        <v>475.35</v>
      </c>
      <c r="F89" s="3">
        <v>472.15</v>
      </c>
      <c r="H89" s="10">
        <f t="shared" si="1"/>
        <v>-6.7318817713264865E-3</v>
      </c>
    </row>
    <row r="90" spans="1:8">
      <c r="A90" s="2">
        <v>45622</v>
      </c>
      <c r="B90" s="3">
        <v>467.6</v>
      </c>
      <c r="C90" s="3">
        <v>476.45</v>
      </c>
      <c r="D90" s="3">
        <v>464.9</v>
      </c>
      <c r="E90" s="3">
        <v>466.2</v>
      </c>
      <c r="F90" s="3">
        <v>475.35</v>
      </c>
      <c r="H90" s="10">
        <f t="shared" si="1"/>
        <v>1.9626769626769701E-2</v>
      </c>
    </row>
    <row r="91" spans="1:8">
      <c r="A91" s="2">
        <v>45621</v>
      </c>
      <c r="B91" s="3">
        <v>467.55</v>
      </c>
      <c r="C91" s="3">
        <v>470.05</v>
      </c>
      <c r="D91" s="3">
        <v>462.5</v>
      </c>
      <c r="E91" s="3">
        <v>461.85</v>
      </c>
      <c r="F91" s="3">
        <v>466.2</v>
      </c>
      <c r="H91" s="10">
        <f t="shared" si="1"/>
        <v>9.4186424163688765E-3</v>
      </c>
    </row>
    <row r="92" spans="1:8">
      <c r="A92" s="2">
        <v>45618</v>
      </c>
      <c r="B92" s="3">
        <v>454.5</v>
      </c>
      <c r="C92" s="3">
        <v>464.85</v>
      </c>
      <c r="D92" s="3">
        <v>453.65</v>
      </c>
      <c r="E92" s="3">
        <v>453.6</v>
      </c>
      <c r="F92" s="3">
        <v>461.85</v>
      </c>
      <c r="H92" s="10">
        <f t="shared" si="1"/>
        <v>1.8187830687830687E-2</v>
      </c>
    </row>
    <row r="93" spans="1:8">
      <c r="A93" s="2">
        <v>45617</v>
      </c>
      <c r="B93" s="3">
        <v>446</v>
      </c>
      <c r="C93" s="3">
        <v>460</v>
      </c>
      <c r="D93" s="3">
        <v>443.4</v>
      </c>
      <c r="E93" s="3">
        <v>451.25</v>
      </c>
      <c r="F93" s="3">
        <v>453.6</v>
      </c>
      <c r="H93" s="10">
        <f t="shared" si="1"/>
        <v>5.2077562326870311E-3</v>
      </c>
    </row>
    <row r="94" spans="1:8">
      <c r="A94" s="2">
        <v>45615</v>
      </c>
      <c r="B94" s="3">
        <v>452</v>
      </c>
      <c r="C94" s="3">
        <v>459</v>
      </c>
      <c r="D94" s="3">
        <v>448.2</v>
      </c>
      <c r="E94" s="3">
        <v>452.5</v>
      </c>
      <c r="F94" s="3">
        <v>451.25</v>
      </c>
      <c r="H94" s="10">
        <f t="shared" si="1"/>
        <v>-2.7624309392265192E-3</v>
      </c>
    </row>
    <row r="95" spans="1:8">
      <c r="A95" s="2">
        <v>45614</v>
      </c>
      <c r="B95" s="3">
        <v>476.05</v>
      </c>
      <c r="C95" s="3">
        <v>481.75</v>
      </c>
      <c r="D95" s="3">
        <v>442.5</v>
      </c>
      <c r="E95" s="3">
        <v>486</v>
      </c>
      <c r="F95" s="3">
        <v>452.5</v>
      </c>
      <c r="H95" s="10">
        <f t="shared" si="1"/>
        <v>-6.893004115226338E-2</v>
      </c>
    </row>
    <row r="96" spans="1:8">
      <c r="A96" s="2">
        <v>45610</v>
      </c>
      <c r="B96" s="3">
        <v>493</v>
      </c>
      <c r="C96" s="3">
        <v>497</v>
      </c>
      <c r="D96" s="3">
        <v>484.7</v>
      </c>
      <c r="E96" s="3">
        <v>491.7</v>
      </c>
      <c r="F96" s="3">
        <v>486</v>
      </c>
      <c r="H96" s="10">
        <f t="shared" si="1"/>
        <v>-1.1592434411226335E-2</v>
      </c>
    </row>
    <row r="97" spans="1:8">
      <c r="A97" s="2">
        <v>45609</v>
      </c>
      <c r="B97" s="3">
        <v>501.15</v>
      </c>
      <c r="C97" s="3">
        <v>506.5</v>
      </c>
      <c r="D97" s="3">
        <v>489.65</v>
      </c>
      <c r="E97" s="3">
        <v>503.05</v>
      </c>
      <c r="F97" s="3">
        <v>491.7</v>
      </c>
      <c r="H97" s="10">
        <f t="shared" si="1"/>
        <v>-2.2562369545770844E-2</v>
      </c>
    </row>
    <row r="98" spans="1:8">
      <c r="A98" s="2">
        <v>45608</v>
      </c>
      <c r="B98" s="3">
        <v>519</v>
      </c>
      <c r="C98" s="3">
        <v>523.04999999999995</v>
      </c>
      <c r="D98" s="3">
        <v>501.5</v>
      </c>
      <c r="E98" s="3">
        <v>517.65</v>
      </c>
      <c r="F98" s="3">
        <v>503.05</v>
      </c>
      <c r="H98" s="10">
        <f t="shared" si="1"/>
        <v>-2.8204385202356741E-2</v>
      </c>
    </row>
    <row r="99" spans="1:8">
      <c r="A99" s="2">
        <v>45607</v>
      </c>
      <c r="B99" s="3">
        <v>521.1</v>
      </c>
      <c r="C99" s="3">
        <v>526.15</v>
      </c>
      <c r="D99" s="3">
        <v>516.54999999999995</v>
      </c>
      <c r="E99" s="3">
        <v>523.54999999999995</v>
      </c>
      <c r="F99" s="3">
        <v>517.65</v>
      </c>
      <c r="H99" s="10">
        <f t="shared" si="1"/>
        <v>-1.1269219749785078E-2</v>
      </c>
    </row>
    <row r="100" spans="1:8">
      <c r="A100" s="2">
        <v>45604</v>
      </c>
      <c r="B100" s="3">
        <v>537.04999999999995</v>
      </c>
      <c r="C100" s="3">
        <v>537.04999999999995</v>
      </c>
      <c r="D100" s="3">
        <v>518.35</v>
      </c>
      <c r="E100" s="3">
        <v>540.79999999999995</v>
      </c>
      <c r="F100" s="3">
        <v>523.54999999999995</v>
      </c>
      <c r="H100" s="10">
        <f t="shared" si="1"/>
        <v>-3.1897189349112426E-2</v>
      </c>
    </row>
    <row r="101" spans="1:8">
      <c r="A101" s="2">
        <v>45603</v>
      </c>
      <c r="B101" s="3">
        <v>533.75</v>
      </c>
      <c r="C101" s="3">
        <v>553</v>
      </c>
      <c r="D101" s="3">
        <v>530.29999999999995</v>
      </c>
      <c r="E101" s="3">
        <v>527.85</v>
      </c>
      <c r="F101" s="3">
        <v>540.79999999999995</v>
      </c>
      <c r="H101" s="10">
        <f t="shared" si="1"/>
        <v>2.4533484891541026E-2</v>
      </c>
    </row>
    <row r="102" spans="1:8">
      <c r="A102" s="2">
        <v>45602</v>
      </c>
      <c r="B102" s="3">
        <v>516.1</v>
      </c>
      <c r="C102" s="3">
        <v>530</v>
      </c>
      <c r="D102" s="3">
        <v>515.29999999999995</v>
      </c>
      <c r="E102" s="3">
        <v>512.54999999999995</v>
      </c>
      <c r="F102" s="3">
        <v>527.85</v>
      </c>
      <c r="H102" s="10">
        <f t="shared" si="1"/>
        <v>2.9850746268656851E-2</v>
      </c>
    </row>
    <row r="103" spans="1:8">
      <c r="A103" s="2">
        <v>45601</v>
      </c>
      <c r="B103" s="3">
        <v>508.1</v>
      </c>
      <c r="C103" s="3">
        <v>515.35</v>
      </c>
      <c r="D103" s="3">
        <v>503.5</v>
      </c>
      <c r="E103" s="3">
        <v>514.04999999999995</v>
      </c>
      <c r="F103" s="3">
        <v>512.54999999999995</v>
      </c>
      <c r="H103" s="10">
        <f t="shared" si="1"/>
        <v>-2.9180040852057197E-3</v>
      </c>
    </row>
    <row r="104" spans="1:8">
      <c r="A104" s="2">
        <v>45600</v>
      </c>
      <c r="B104" s="3">
        <v>523.75</v>
      </c>
      <c r="C104" s="3">
        <v>524.70000000000005</v>
      </c>
      <c r="D104" s="3">
        <v>508.7</v>
      </c>
      <c r="E104" s="3">
        <v>523.35</v>
      </c>
      <c r="F104" s="3">
        <v>514.04999999999995</v>
      </c>
      <c r="H104" s="10">
        <f t="shared" si="1"/>
        <v>-1.7770134709085828E-2</v>
      </c>
    </row>
    <row r="105" spans="1:8">
      <c r="A105" s="2">
        <v>45597</v>
      </c>
      <c r="B105" s="3">
        <v>523</v>
      </c>
      <c r="C105" s="3">
        <v>525.4</v>
      </c>
      <c r="D105" s="3">
        <v>521.1</v>
      </c>
      <c r="E105" s="3">
        <v>519.15</v>
      </c>
      <c r="F105" s="3">
        <v>523.35</v>
      </c>
      <c r="H105" s="10">
        <f t="shared" si="1"/>
        <v>8.0901473562555049E-3</v>
      </c>
    </row>
    <row r="106" spans="1:8">
      <c r="A106" s="2">
        <v>45596</v>
      </c>
      <c r="B106" s="3">
        <v>530.04999999999995</v>
      </c>
      <c r="C106" s="3">
        <v>531.95000000000005</v>
      </c>
      <c r="D106" s="3">
        <v>517</v>
      </c>
      <c r="E106" s="3">
        <v>527.25</v>
      </c>
      <c r="F106" s="3">
        <v>519.15</v>
      </c>
      <c r="H106" s="10">
        <f t="shared" si="1"/>
        <v>-1.536273115220488E-2</v>
      </c>
    </row>
    <row r="107" spans="1:8">
      <c r="A107" s="2">
        <v>45595</v>
      </c>
      <c r="B107" s="3">
        <v>530.04999999999995</v>
      </c>
      <c r="C107" s="3">
        <v>533.54999999999995</v>
      </c>
      <c r="D107" s="3">
        <v>525.85</v>
      </c>
      <c r="E107" s="3">
        <v>529.9</v>
      </c>
      <c r="F107" s="3">
        <v>527.25</v>
      </c>
      <c r="H107" s="10">
        <f t="shared" si="1"/>
        <v>-5.0009435742592511E-3</v>
      </c>
    </row>
    <row r="108" spans="1:8">
      <c r="A108" s="2">
        <v>45594</v>
      </c>
      <c r="B108" s="3">
        <v>527.9</v>
      </c>
      <c r="C108" s="3">
        <v>531.70000000000005</v>
      </c>
      <c r="D108" s="3">
        <v>520.54999999999995</v>
      </c>
      <c r="E108" s="3">
        <v>527.65</v>
      </c>
      <c r="F108" s="3">
        <v>529.9</v>
      </c>
      <c r="H108" s="10">
        <f t="shared" si="1"/>
        <v>4.2641902776461675E-3</v>
      </c>
    </row>
    <row r="109" spans="1:8">
      <c r="A109" s="2">
        <v>45593</v>
      </c>
      <c r="B109" s="3">
        <v>526.29999999999995</v>
      </c>
      <c r="C109" s="3">
        <v>532.85</v>
      </c>
      <c r="D109" s="3">
        <v>519.04999999999995</v>
      </c>
      <c r="E109" s="3">
        <v>526.29999999999995</v>
      </c>
      <c r="F109" s="3">
        <v>527.65</v>
      </c>
      <c r="H109" s="10">
        <f t="shared" si="1"/>
        <v>2.5650769523086125E-3</v>
      </c>
    </row>
    <row r="110" spans="1:8">
      <c r="A110" s="2">
        <v>45590</v>
      </c>
      <c r="B110" s="3">
        <v>536.45000000000005</v>
      </c>
      <c r="C110" s="3">
        <v>536.5</v>
      </c>
      <c r="D110" s="3">
        <v>520.85</v>
      </c>
      <c r="E110" s="3">
        <v>536</v>
      </c>
      <c r="F110" s="3">
        <v>526.29999999999995</v>
      </c>
      <c r="H110" s="10">
        <f t="shared" si="1"/>
        <v>-1.8097014925373221E-2</v>
      </c>
    </row>
    <row r="111" spans="1:8">
      <c r="A111" s="2">
        <v>45589</v>
      </c>
      <c r="B111" s="3">
        <v>543.9</v>
      </c>
      <c r="C111" s="3">
        <v>544.20000000000005</v>
      </c>
      <c r="D111" s="3">
        <v>532.5</v>
      </c>
      <c r="E111" s="3">
        <v>542.20000000000005</v>
      </c>
      <c r="F111" s="3">
        <v>536</v>
      </c>
      <c r="H111" s="10">
        <f t="shared" si="1"/>
        <v>-1.143489487274077E-2</v>
      </c>
    </row>
    <row r="112" spans="1:8">
      <c r="A112" s="2">
        <v>45588</v>
      </c>
      <c r="B112" s="3">
        <v>535.95000000000005</v>
      </c>
      <c r="C112" s="3">
        <v>546.9</v>
      </c>
      <c r="D112" s="3">
        <v>532.45000000000005</v>
      </c>
      <c r="E112" s="3">
        <v>535.70000000000005</v>
      </c>
      <c r="F112" s="3">
        <v>542.20000000000005</v>
      </c>
      <c r="H112" s="10">
        <f t="shared" si="1"/>
        <v>1.2133656897517267E-2</v>
      </c>
    </row>
    <row r="113" spans="1:8">
      <c r="A113" s="2">
        <v>45587</v>
      </c>
      <c r="B113" s="3">
        <v>546.85</v>
      </c>
      <c r="C113" s="3">
        <v>549.95000000000005</v>
      </c>
      <c r="D113" s="3">
        <v>534.15</v>
      </c>
      <c r="E113" s="3">
        <v>546.9</v>
      </c>
      <c r="F113" s="3">
        <v>535.70000000000005</v>
      </c>
      <c r="H113" s="10">
        <f t="shared" si="1"/>
        <v>-2.0479063814225512E-2</v>
      </c>
    </row>
    <row r="114" spans="1:8">
      <c r="A114" s="2">
        <v>45586</v>
      </c>
      <c r="B114" s="3">
        <v>558.79999999999995</v>
      </c>
      <c r="C114" s="3">
        <v>571</v>
      </c>
      <c r="D114" s="3">
        <v>545</v>
      </c>
      <c r="E114" s="3">
        <v>563</v>
      </c>
      <c r="F114" s="3">
        <v>546.9</v>
      </c>
      <c r="H114" s="10">
        <f t="shared" si="1"/>
        <v>-2.8596802841918335E-2</v>
      </c>
    </row>
    <row r="115" spans="1:8">
      <c r="A115" s="2">
        <v>45583</v>
      </c>
      <c r="B115" s="3">
        <v>559.95000000000005</v>
      </c>
      <c r="C115" s="3">
        <v>566.54999999999995</v>
      </c>
      <c r="D115" s="3">
        <v>543.35</v>
      </c>
      <c r="E115" s="3">
        <v>570.25</v>
      </c>
      <c r="F115" s="3">
        <v>563</v>
      </c>
      <c r="H115" s="10">
        <f t="shared" si="1"/>
        <v>-1.2713722051731697E-2</v>
      </c>
    </row>
    <row r="116" spans="1:8">
      <c r="A116" s="2">
        <v>45582</v>
      </c>
      <c r="B116" s="3">
        <v>587</v>
      </c>
      <c r="C116" s="3">
        <v>589.65</v>
      </c>
      <c r="D116" s="3">
        <v>566.70000000000005</v>
      </c>
      <c r="E116" s="3">
        <v>586.29999999999995</v>
      </c>
      <c r="F116" s="3">
        <v>570.25</v>
      </c>
      <c r="H116" s="10">
        <f t="shared" si="1"/>
        <v>-2.7375063960429737E-2</v>
      </c>
    </row>
    <row r="117" spans="1:8">
      <c r="A117" s="2">
        <v>45581</v>
      </c>
      <c r="B117" s="3">
        <v>583.70000000000005</v>
      </c>
      <c r="C117" s="3">
        <v>591.35</v>
      </c>
      <c r="D117" s="3">
        <v>579</v>
      </c>
      <c r="E117" s="3">
        <v>585.9</v>
      </c>
      <c r="F117" s="3">
        <v>586.29999999999995</v>
      </c>
      <c r="H117" s="10">
        <f t="shared" si="1"/>
        <v>6.8271036012967619E-4</v>
      </c>
    </row>
    <row r="118" spans="1:8">
      <c r="A118" s="2">
        <v>45580</v>
      </c>
      <c r="B118" s="3">
        <v>591.54999999999995</v>
      </c>
      <c r="C118" s="3">
        <v>594.95000000000005</v>
      </c>
      <c r="D118" s="3">
        <v>584.29999999999995</v>
      </c>
      <c r="E118" s="3">
        <v>589.29999999999995</v>
      </c>
      <c r="F118" s="3">
        <v>585.9</v>
      </c>
      <c r="H118" s="10">
        <f t="shared" si="1"/>
        <v>-5.7695571016459822E-3</v>
      </c>
    </row>
    <row r="119" spans="1:8">
      <c r="A119" s="2">
        <v>45579</v>
      </c>
      <c r="B119" s="3">
        <v>602.54999999999995</v>
      </c>
      <c r="C119" s="3">
        <v>602.9</v>
      </c>
      <c r="D119" s="3">
        <v>585.04999999999995</v>
      </c>
      <c r="E119" s="3">
        <v>600.1</v>
      </c>
      <c r="F119" s="3">
        <v>589.29999999999995</v>
      </c>
      <c r="H119" s="10">
        <f t="shared" si="1"/>
        <v>-1.7997000499916795E-2</v>
      </c>
    </row>
    <row r="120" spans="1:8">
      <c r="A120" s="2">
        <v>45576</v>
      </c>
      <c r="B120" s="3">
        <v>603.29999999999995</v>
      </c>
      <c r="C120" s="3">
        <v>605.25</v>
      </c>
      <c r="D120" s="3">
        <v>597.54999999999995</v>
      </c>
      <c r="E120" s="3">
        <v>602.9</v>
      </c>
      <c r="F120" s="3">
        <v>600.1</v>
      </c>
      <c r="H120" s="10">
        <f t="shared" si="1"/>
        <v>-4.6442196052412579E-3</v>
      </c>
    </row>
    <row r="121" spans="1:8">
      <c r="A121" s="2">
        <v>45575</v>
      </c>
      <c r="B121" s="3">
        <v>600.95000000000005</v>
      </c>
      <c r="C121" s="3">
        <v>605.35</v>
      </c>
      <c r="D121" s="3">
        <v>590.04999999999995</v>
      </c>
      <c r="E121" s="3">
        <v>597.54999999999995</v>
      </c>
      <c r="F121" s="3">
        <v>602.9</v>
      </c>
      <c r="H121" s="10">
        <f t="shared" si="1"/>
        <v>8.9532256714919649E-3</v>
      </c>
    </row>
    <row r="122" spans="1:8">
      <c r="A122" s="2">
        <v>45574</v>
      </c>
      <c r="B122" s="3">
        <v>604.25</v>
      </c>
      <c r="C122" s="3">
        <v>607.54999999999995</v>
      </c>
      <c r="D122" s="3">
        <v>595.5</v>
      </c>
      <c r="E122" s="3">
        <v>602.95000000000005</v>
      </c>
      <c r="F122" s="3">
        <v>597.54999999999995</v>
      </c>
      <c r="H122" s="10">
        <f t="shared" si="1"/>
        <v>-8.955966498051398E-3</v>
      </c>
    </row>
    <row r="123" spans="1:8">
      <c r="A123" s="2">
        <v>45573</v>
      </c>
      <c r="B123" s="3">
        <v>592.15</v>
      </c>
      <c r="C123" s="3">
        <v>606.45000000000005</v>
      </c>
      <c r="D123" s="3">
        <v>585</v>
      </c>
      <c r="E123" s="3">
        <v>596.15</v>
      </c>
      <c r="F123" s="3">
        <v>602.95000000000005</v>
      </c>
      <c r="H123" s="10">
        <f t="shared" si="1"/>
        <v>1.1406525203388524E-2</v>
      </c>
    </row>
    <row r="124" spans="1:8">
      <c r="A124" s="2">
        <v>45572</v>
      </c>
      <c r="B124" s="3">
        <v>620</v>
      </c>
      <c r="C124" s="3">
        <v>620</v>
      </c>
      <c r="D124" s="3">
        <v>592.79999999999995</v>
      </c>
      <c r="E124" s="3">
        <v>616.45000000000005</v>
      </c>
      <c r="F124" s="3">
        <v>596.15</v>
      </c>
      <c r="H124" s="10">
        <f t="shared" si="1"/>
        <v>-3.2930489090761725E-2</v>
      </c>
    </row>
    <row r="125" spans="1:8">
      <c r="A125" s="2">
        <v>45569</v>
      </c>
      <c r="B125" s="3">
        <v>609.54999999999995</v>
      </c>
      <c r="C125" s="3">
        <v>627</v>
      </c>
      <c r="D125" s="3">
        <v>606</v>
      </c>
      <c r="E125" s="3">
        <v>609.54999999999995</v>
      </c>
      <c r="F125" s="3">
        <v>616.45000000000005</v>
      </c>
      <c r="H125" s="10">
        <f t="shared" si="1"/>
        <v>1.1319826101222364E-2</v>
      </c>
    </row>
    <row r="126" spans="1:8">
      <c r="A126" s="2">
        <v>45568</v>
      </c>
      <c r="B126" s="3">
        <v>607.79999999999995</v>
      </c>
      <c r="C126" s="3">
        <v>618.9</v>
      </c>
      <c r="D126" s="3">
        <v>605</v>
      </c>
      <c r="E126" s="3">
        <v>615.29999999999995</v>
      </c>
      <c r="F126" s="3">
        <v>609.54999999999995</v>
      </c>
      <c r="H126" s="10">
        <f t="shared" si="1"/>
        <v>-9.345034942304568E-3</v>
      </c>
    </row>
    <row r="127" spans="1:8">
      <c r="A127" s="2">
        <v>45566</v>
      </c>
      <c r="B127" s="3">
        <v>622</v>
      </c>
      <c r="C127" s="3">
        <v>624.35</v>
      </c>
      <c r="D127" s="3">
        <v>613.65</v>
      </c>
      <c r="E127" s="3">
        <v>618.4</v>
      </c>
      <c r="F127" s="3">
        <v>615.29999999999995</v>
      </c>
      <c r="H127" s="10">
        <f t="shared" si="1"/>
        <v>-5.012936610608058E-3</v>
      </c>
    </row>
    <row r="128" spans="1:8">
      <c r="A128" s="2">
        <v>45565</v>
      </c>
      <c r="B128" s="3">
        <v>616</v>
      </c>
      <c r="C128" s="3">
        <v>621.5</v>
      </c>
      <c r="D128" s="3">
        <v>608</v>
      </c>
      <c r="E128" s="3">
        <v>610.79999999999995</v>
      </c>
      <c r="F128" s="3">
        <v>618.4</v>
      </c>
      <c r="H128" s="10">
        <f t="shared" si="1"/>
        <v>1.2442698100851381E-2</v>
      </c>
    </row>
    <row r="129" spans="1:8">
      <c r="A129" s="2">
        <v>45562</v>
      </c>
      <c r="B129" s="3">
        <v>603.5</v>
      </c>
      <c r="C129" s="3">
        <v>616.5</v>
      </c>
      <c r="D129" s="3">
        <v>601</v>
      </c>
      <c r="E129" s="3">
        <v>605.45000000000005</v>
      </c>
      <c r="F129" s="3">
        <v>610.79999999999995</v>
      </c>
      <c r="H129" s="10">
        <f t="shared" si="1"/>
        <v>8.8364026756956125E-3</v>
      </c>
    </row>
    <row r="130" spans="1:8">
      <c r="A130" s="2">
        <v>45561</v>
      </c>
      <c r="B130" s="3">
        <v>610.85</v>
      </c>
      <c r="C130" s="3">
        <v>611</v>
      </c>
      <c r="D130" s="3">
        <v>597</v>
      </c>
      <c r="E130" s="3">
        <v>605.29999999999995</v>
      </c>
      <c r="F130" s="3">
        <v>605.45000000000005</v>
      </c>
      <c r="H130" s="10">
        <f t="shared" si="1"/>
        <v>2.4781100280867497E-4</v>
      </c>
    </row>
    <row r="131" spans="1:8">
      <c r="A131" s="2">
        <v>45560</v>
      </c>
      <c r="B131" s="3">
        <v>613</v>
      </c>
      <c r="C131" s="3">
        <v>615.75</v>
      </c>
      <c r="D131" s="3">
        <v>604.04999999999995</v>
      </c>
      <c r="E131" s="3">
        <v>611.85</v>
      </c>
      <c r="F131" s="3">
        <v>605.29999999999995</v>
      </c>
      <c r="H131" s="10">
        <f t="shared" si="1"/>
        <v>-1.0705238211980172E-2</v>
      </c>
    </row>
    <row r="132" spans="1:8">
      <c r="A132" s="2">
        <v>45559</v>
      </c>
      <c r="B132" s="3">
        <v>622.25</v>
      </c>
      <c r="C132" s="3">
        <v>622.25</v>
      </c>
      <c r="D132" s="3">
        <v>610.75</v>
      </c>
      <c r="E132" s="3">
        <v>617.04999999999995</v>
      </c>
      <c r="F132" s="3">
        <v>611.85</v>
      </c>
      <c r="H132" s="10">
        <f t="shared" si="1"/>
        <v>-8.4271939064904499E-3</v>
      </c>
    </row>
    <row r="133" spans="1:8">
      <c r="A133" s="2">
        <v>45558</v>
      </c>
      <c r="B133" s="3">
        <v>614.95000000000005</v>
      </c>
      <c r="C133" s="3">
        <v>623.70000000000005</v>
      </c>
      <c r="D133" s="3">
        <v>611.4</v>
      </c>
      <c r="E133" s="3">
        <v>614.20000000000005</v>
      </c>
      <c r="F133" s="3">
        <v>617.04999999999995</v>
      </c>
      <c r="H133" s="10">
        <f t="shared" ref="H133:H196" si="2">(F133-E133)/E133</f>
        <v>4.6401823510255763E-3</v>
      </c>
    </row>
    <row r="134" spans="1:8">
      <c r="A134" s="2">
        <v>45555</v>
      </c>
      <c r="B134" s="3">
        <v>619.5</v>
      </c>
      <c r="C134" s="3">
        <v>622.65</v>
      </c>
      <c r="D134" s="3">
        <v>611</v>
      </c>
      <c r="E134" s="3">
        <v>619.5</v>
      </c>
      <c r="F134" s="3">
        <v>614.20000000000005</v>
      </c>
      <c r="H134" s="10">
        <f t="shared" si="2"/>
        <v>-8.5552865213881432E-3</v>
      </c>
    </row>
    <row r="135" spans="1:8">
      <c r="A135" s="2">
        <v>45554</v>
      </c>
      <c r="B135" s="3">
        <v>620</v>
      </c>
      <c r="C135" s="3">
        <v>623.4</v>
      </c>
      <c r="D135" s="3">
        <v>608.9</v>
      </c>
      <c r="E135" s="3">
        <v>616.5</v>
      </c>
      <c r="F135" s="3">
        <v>619.5</v>
      </c>
      <c r="H135" s="10">
        <f t="shared" si="2"/>
        <v>4.8661800486618006E-3</v>
      </c>
    </row>
    <row r="136" spans="1:8">
      <c r="A136" s="2">
        <v>45553</v>
      </c>
      <c r="B136" s="3">
        <v>623.79999999999995</v>
      </c>
      <c r="C136" s="3">
        <v>625.75</v>
      </c>
      <c r="D136" s="3">
        <v>614.9</v>
      </c>
      <c r="E136" s="3">
        <v>623.95000000000005</v>
      </c>
      <c r="F136" s="3">
        <v>616.5</v>
      </c>
      <c r="H136" s="10">
        <f t="shared" si="2"/>
        <v>-1.194005929962344E-2</v>
      </c>
    </row>
    <row r="137" spans="1:8">
      <c r="A137" s="2">
        <v>45552</v>
      </c>
      <c r="B137" s="3">
        <v>634.75</v>
      </c>
      <c r="C137" s="3">
        <v>641.45000000000005</v>
      </c>
      <c r="D137" s="3">
        <v>621.5</v>
      </c>
      <c r="E137" s="3">
        <v>630.29999999999995</v>
      </c>
      <c r="F137" s="3">
        <v>623.95000000000005</v>
      </c>
      <c r="H137" s="10">
        <f t="shared" si="2"/>
        <v>-1.0074567666190559E-2</v>
      </c>
    </row>
    <row r="138" spans="1:8">
      <c r="A138" s="2">
        <v>45551</v>
      </c>
      <c r="B138" s="3">
        <v>632.95000000000005</v>
      </c>
      <c r="C138" s="3">
        <v>634.70000000000005</v>
      </c>
      <c r="D138" s="3">
        <v>623.35</v>
      </c>
      <c r="E138" s="3">
        <v>633</v>
      </c>
      <c r="F138" s="3">
        <v>630.29999999999995</v>
      </c>
      <c r="H138" s="10">
        <f t="shared" si="2"/>
        <v>-4.2654028436019675E-3</v>
      </c>
    </row>
    <row r="139" spans="1:8">
      <c r="A139" s="2">
        <v>45548</v>
      </c>
      <c r="B139" s="3">
        <v>643.9</v>
      </c>
      <c r="C139" s="3">
        <v>644.45000000000005</v>
      </c>
      <c r="D139" s="3">
        <v>632</v>
      </c>
      <c r="E139" s="3">
        <v>639.35</v>
      </c>
      <c r="F139" s="3">
        <v>633</v>
      </c>
      <c r="H139" s="10">
        <f t="shared" si="2"/>
        <v>-9.9319621490576715E-3</v>
      </c>
    </row>
    <row r="140" spans="1:8">
      <c r="A140" s="2">
        <v>45547</v>
      </c>
      <c r="B140" s="3">
        <v>647.04999999999995</v>
      </c>
      <c r="C140" s="3">
        <v>650.5</v>
      </c>
      <c r="D140" s="3">
        <v>636.85</v>
      </c>
      <c r="E140" s="3">
        <v>644.6</v>
      </c>
      <c r="F140" s="3">
        <v>639.35</v>
      </c>
      <c r="H140" s="10">
        <f t="shared" si="2"/>
        <v>-8.1445857896369836E-3</v>
      </c>
    </row>
    <row r="141" spans="1:8">
      <c r="A141" s="2">
        <v>45546</v>
      </c>
      <c r="B141" s="3">
        <v>654.5</v>
      </c>
      <c r="C141" s="3">
        <v>658.2</v>
      </c>
      <c r="D141" s="3">
        <v>637.85</v>
      </c>
      <c r="E141" s="3">
        <v>654.15</v>
      </c>
      <c r="F141" s="3">
        <v>644.6</v>
      </c>
      <c r="H141" s="10">
        <f t="shared" si="2"/>
        <v>-1.45990980661927E-2</v>
      </c>
    </row>
    <row r="142" spans="1:8">
      <c r="A142" s="2">
        <v>45545</v>
      </c>
      <c r="B142" s="3">
        <v>660.55</v>
      </c>
      <c r="C142" s="3">
        <v>662.35</v>
      </c>
      <c r="D142" s="3">
        <v>644.70000000000005</v>
      </c>
      <c r="E142" s="3">
        <v>653.75</v>
      </c>
      <c r="F142" s="3">
        <v>654.15</v>
      </c>
      <c r="H142" s="10">
        <f t="shared" si="2"/>
        <v>6.1185468451239349E-4</v>
      </c>
    </row>
    <row r="143" spans="1:8">
      <c r="A143" s="2">
        <v>45544</v>
      </c>
      <c r="B143" s="3">
        <v>664.8</v>
      </c>
      <c r="C143" s="3">
        <v>665.45</v>
      </c>
      <c r="D143" s="3">
        <v>641.95000000000005</v>
      </c>
      <c r="E143" s="3">
        <v>667</v>
      </c>
      <c r="F143" s="3">
        <v>653.75</v>
      </c>
      <c r="H143" s="10">
        <f t="shared" si="2"/>
        <v>-1.9865067466266866E-2</v>
      </c>
    </row>
    <row r="144" spans="1:8">
      <c r="A144" s="2">
        <v>45541</v>
      </c>
      <c r="B144" s="3">
        <v>672.5</v>
      </c>
      <c r="C144" s="3">
        <v>685</v>
      </c>
      <c r="D144" s="3">
        <v>664.55</v>
      </c>
      <c r="E144" s="3">
        <v>677.95</v>
      </c>
      <c r="F144" s="3">
        <v>667</v>
      </c>
      <c r="H144" s="10">
        <f t="shared" si="2"/>
        <v>-1.6151633601298097E-2</v>
      </c>
    </row>
    <row r="145" spans="1:8">
      <c r="A145" s="2">
        <v>45540</v>
      </c>
      <c r="B145" s="3">
        <v>661</v>
      </c>
      <c r="C145" s="3">
        <v>682.8</v>
      </c>
      <c r="D145" s="3">
        <v>661</v>
      </c>
      <c r="E145" s="3">
        <v>660.55</v>
      </c>
      <c r="F145" s="3">
        <v>677.95</v>
      </c>
      <c r="H145" s="10">
        <f t="shared" si="2"/>
        <v>2.6341684959503585E-2</v>
      </c>
    </row>
    <row r="146" spans="1:8">
      <c r="A146" s="2">
        <v>45539</v>
      </c>
      <c r="B146" s="3">
        <v>662</v>
      </c>
      <c r="C146" s="3">
        <v>680</v>
      </c>
      <c r="D146" s="3">
        <v>659.15</v>
      </c>
      <c r="E146" s="3">
        <v>676.15</v>
      </c>
      <c r="F146" s="3">
        <v>660.55</v>
      </c>
      <c r="H146" s="10">
        <f t="shared" si="2"/>
        <v>-2.3071803593877133E-2</v>
      </c>
    </row>
    <row r="147" spans="1:8">
      <c r="A147" s="2">
        <v>45538</v>
      </c>
      <c r="B147" s="3">
        <v>676</v>
      </c>
      <c r="C147" s="3">
        <v>682.5</v>
      </c>
      <c r="D147" s="3">
        <v>665</v>
      </c>
      <c r="E147" s="3">
        <v>680</v>
      </c>
      <c r="F147" s="3">
        <v>676.15</v>
      </c>
      <c r="H147" s="10">
        <f t="shared" si="2"/>
        <v>-5.6617647058823861E-3</v>
      </c>
    </row>
    <row r="148" spans="1:8">
      <c r="A148" s="2">
        <v>45537</v>
      </c>
      <c r="B148" s="3">
        <v>637.15</v>
      </c>
      <c r="C148" s="3">
        <v>689.95</v>
      </c>
      <c r="D148" s="3">
        <v>630.75</v>
      </c>
      <c r="E148" s="3">
        <v>606.95000000000005</v>
      </c>
      <c r="F148" s="3">
        <v>680</v>
      </c>
      <c r="H148" s="10">
        <f t="shared" si="2"/>
        <v>0.12035587774940266</v>
      </c>
    </row>
    <row r="149" spans="1:8">
      <c r="A149" s="2">
        <v>45534</v>
      </c>
      <c r="B149" s="3">
        <v>605</v>
      </c>
      <c r="C149" s="3">
        <v>615.9</v>
      </c>
      <c r="D149" s="3">
        <v>604</v>
      </c>
      <c r="E149" s="3">
        <v>603.29999999999995</v>
      </c>
      <c r="F149" s="3">
        <v>606.95000000000005</v>
      </c>
      <c r="H149" s="10">
        <f t="shared" si="2"/>
        <v>6.050058014255082E-3</v>
      </c>
    </row>
    <row r="150" spans="1:8">
      <c r="A150" s="2">
        <v>45533</v>
      </c>
      <c r="B150" s="3">
        <v>600.95000000000005</v>
      </c>
      <c r="C150" s="3">
        <v>614</v>
      </c>
      <c r="D150" s="3">
        <v>599.9</v>
      </c>
      <c r="E150" s="3">
        <v>600.75</v>
      </c>
      <c r="F150" s="3">
        <v>603.29999999999995</v>
      </c>
      <c r="H150" s="10">
        <f t="shared" si="2"/>
        <v>4.2446941323345064E-3</v>
      </c>
    </row>
    <row r="151" spans="1:8">
      <c r="A151" s="2">
        <v>45532</v>
      </c>
      <c r="B151" s="3">
        <v>601</v>
      </c>
      <c r="C151" s="3">
        <v>604.9</v>
      </c>
      <c r="D151" s="3">
        <v>595.6</v>
      </c>
      <c r="E151" s="3">
        <v>599.79999999999995</v>
      </c>
      <c r="F151" s="3">
        <v>600.75</v>
      </c>
      <c r="H151" s="10">
        <f t="shared" si="2"/>
        <v>1.5838612870957744E-3</v>
      </c>
    </row>
    <row r="152" spans="1:8">
      <c r="A152" s="2">
        <v>45531</v>
      </c>
      <c r="B152" s="3">
        <v>602</v>
      </c>
      <c r="C152" s="3">
        <v>607.15</v>
      </c>
      <c r="D152" s="3">
        <v>597.25</v>
      </c>
      <c r="E152" s="3">
        <v>599.45000000000005</v>
      </c>
      <c r="F152" s="3">
        <v>599.79999999999995</v>
      </c>
      <c r="H152" s="10">
        <f t="shared" si="2"/>
        <v>5.8386854616716832E-4</v>
      </c>
    </row>
    <row r="153" spans="1:8">
      <c r="A153" s="2">
        <v>45530</v>
      </c>
      <c r="B153" s="3">
        <v>597.70000000000005</v>
      </c>
      <c r="C153" s="3">
        <v>601.45000000000005</v>
      </c>
      <c r="D153" s="3">
        <v>588.6</v>
      </c>
      <c r="E153" s="3">
        <v>594</v>
      </c>
      <c r="F153" s="3">
        <v>599.45000000000005</v>
      </c>
      <c r="H153" s="10">
        <f t="shared" si="2"/>
        <v>9.1750841750842509E-3</v>
      </c>
    </row>
    <row r="154" spans="1:8">
      <c r="A154" s="2">
        <v>45527</v>
      </c>
      <c r="B154" s="3">
        <v>598.4</v>
      </c>
      <c r="C154" s="3">
        <v>598.4</v>
      </c>
      <c r="D154" s="3">
        <v>590.15</v>
      </c>
      <c r="E154" s="3">
        <v>595.4</v>
      </c>
      <c r="F154" s="3">
        <v>594</v>
      </c>
      <c r="H154" s="10">
        <f t="shared" si="2"/>
        <v>-2.3513604299630121E-3</v>
      </c>
    </row>
    <row r="155" spans="1:8">
      <c r="A155" s="2">
        <v>45526</v>
      </c>
      <c r="B155" s="3">
        <v>602.9</v>
      </c>
      <c r="C155" s="3">
        <v>602.9</v>
      </c>
      <c r="D155" s="3">
        <v>589.25</v>
      </c>
      <c r="E155" s="3">
        <v>596.9</v>
      </c>
      <c r="F155" s="3">
        <v>595.4</v>
      </c>
      <c r="H155" s="10">
        <f t="shared" si="2"/>
        <v>-2.5129837493717542E-3</v>
      </c>
    </row>
    <row r="156" spans="1:8">
      <c r="A156" s="2">
        <v>45525</v>
      </c>
      <c r="B156" s="3">
        <v>589.9</v>
      </c>
      <c r="C156" s="3">
        <v>602</v>
      </c>
      <c r="D156" s="3">
        <v>584.4</v>
      </c>
      <c r="E156" s="3">
        <v>588</v>
      </c>
      <c r="F156" s="3">
        <v>596.9</v>
      </c>
      <c r="H156" s="10">
        <f t="shared" si="2"/>
        <v>1.5136054421768668E-2</v>
      </c>
    </row>
    <row r="157" spans="1:8">
      <c r="A157" s="2">
        <v>45524</v>
      </c>
      <c r="B157" s="3">
        <v>593</v>
      </c>
      <c r="C157" s="3">
        <v>596.85</v>
      </c>
      <c r="D157" s="3">
        <v>584</v>
      </c>
      <c r="E157" s="3">
        <v>590.75</v>
      </c>
      <c r="F157" s="3">
        <v>588</v>
      </c>
      <c r="H157" s="10">
        <f t="shared" si="2"/>
        <v>-4.6550994498518834E-3</v>
      </c>
    </row>
    <row r="158" spans="1:8">
      <c r="A158" s="2">
        <v>45523</v>
      </c>
      <c r="B158" s="3">
        <v>602</v>
      </c>
      <c r="C158" s="3">
        <v>605.85</v>
      </c>
      <c r="D158" s="3">
        <v>589</v>
      </c>
      <c r="E158" s="3">
        <v>601.20000000000005</v>
      </c>
      <c r="F158" s="3">
        <v>590.75</v>
      </c>
      <c r="H158" s="10">
        <f t="shared" si="2"/>
        <v>-1.7381902860944851E-2</v>
      </c>
    </row>
    <row r="159" spans="1:8">
      <c r="A159" s="2">
        <v>45520</v>
      </c>
      <c r="B159" s="3">
        <v>594.29999999999995</v>
      </c>
      <c r="C159" s="3">
        <v>606.54999999999995</v>
      </c>
      <c r="D159" s="3">
        <v>592.5</v>
      </c>
      <c r="E159" s="3">
        <v>592.5</v>
      </c>
      <c r="F159" s="3">
        <v>601.20000000000005</v>
      </c>
      <c r="H159" s="10">
        <f t="shared" si="2"/>
        <v>1.4683544303797546E-2</v>
      </c>
    </row>
    <row r="160" spans="1:8">
      <c r="A160" s="2">
        <v>45518</v>
      </c>
      <c r="B160" s="3">
        <v>601</v>
      </c>
      <c r="C160" s="3">
        <v>602</v>
      </c>
      <c r="D160" s="3">
        <v>584.35</v>
      </c>
      <c r="E160" s="3">
        <v>595.75</v>
      </c>
      <c r="F160" s="3">
        <v>592.5</v>
      </c>
      <c r="H160" s="10">
        <f t="shared" si="2"/>
        <v>-5.4553084347461183E-3</v>
      </c>
    </row>
    <row r="161" spans="1:8">
      <c r="A161" s="2">
        <v>45517</v>
      </c>
      <c r="B161" s="3">
        <v>620</v>
      </c>
      <c r="C161" s="3">
        <v>624.95000000000005</v>
      </c>
      <c r="D161" s="3">
        <v>593.65</v>
      </c>
      <c r="E161" s="3">
        <v>618.9</v>
      </c>
      <c r="F161" s="3">
        <v>595.75</v>
      </c>
      <c r="H161" s="10">
        <f t="shared" si="2"/>
        <v>-3.7405073517531071E-2</v>
      </c>
    </row>
    <row r="162" spans="1:8">
      <c r="A162" s="2">
        <v>45516</v>
      </c>
      <c r="B162" s="3">
        <v>605</v>
      </c>
      <c r="C162" s="3">
        <v>620.6</v>
      </c>
      <c r="D162" s="3">
        <v>603.9</v>
      </c>
      <c r="E162" s="3">
        <v>610.70000000000005</v>
      </c>
      <c r="F162" s="3">
        <v>618.9</v>
      </c>
      <c r="H162" s="10">
        <f t="shared" si="2"/>
        <v>1.3427214671688115E-2</v>
      </c>
    </row>
    <row r="163" spans="1:8">
      <c r="A163" s="2">
        <v>45513</v>
      </c>
      <c r="B163" s="3">
        <v>605</v>
      </c>
      <c r="C163" s="3">
        <v>619.9</v>
      </c>
      <c r="D163" s="3">
        <v>598.1</v>
      </c>
      <c r="E163" s="3">
        <v>621.65</v>
      </c>
      <c r="F163" s="3">
        <v>610.70000000000005</v>
      </c>
      <c r="H163" s="10">
        <f t="shared" si="2"/>
        <v>-1.7614413255046944E-2</v>
      </c>
    </row>
    <row r="164" spans="1:8">
      <c r="A164" s="2">
        <v>45512</v>
      </c>
      <c r="B164" s="3">
        <v>639</v>
      </c>
      <c r="C164" s="3">
        <v>639.9</v>
      </c>
      <c r="D164" s="3">
        <v>620.1</v>
      </c>
      <c r="E164" s="3">
        <v>636.95000000000005</v>
      </c>
      <c r="F164" s="3">
        <v>621.65</v>
      </c>
      <c r="H164" s="10">
        <f t="shared" si="2"/>
        <v>-2.4020723761676847E-2</v>
      </c>
    </row>
    <row r="165" spans="1:8">
      <c r="A165" s="2">
        <v>45511</v>
      </c>
      <c r="B165" s="3">
        <v>649</v>
      </c>
      <c r="C165" s="3">
        <v>654.29999999999995</v>
      </c>
      <c r="D165" s="3">
        <v>631.45000000000005</v>
      </c>
      <c r="E165" s="3">
        <v>644.5</v>
      </c>
      <c r="F165" s="3">
        <v>636.95000000000005</v>
      </c>
      <c r="H165" s="10">
        <f t="shared" si="2"/>
        <v>-1.1714507370054235E-2</v>
      </c>
    </row>
    <row r="166" spans="1:8">
      <c r="A166" s="2">
        <v>45510</v>
      </c>
      <c r="B166" s="3">
        <v>642</v>
      </c>
      <c r="C166" s="3">
        <v>665</v>
      </c>
      <c r="D166" s="3">
        <v>635.15</v>
      </c>
      <c r="E166" s="3">
        <v>642</v>
      </c>
      <c r="F166" s="3">
        <v>644.5</v>
      </c>
      <c r="H166" s="10">
        <f t="shared" si="2"/>
        <v>3.8940809968847352E-3</v>
      </c>
    </row>
    <row r="167" spans="1:8">
      <c r="A167" s="2">
        <v>45509</v>
      </c>
      <c r="B167" s="3">
        <v>648.5</v>
      </c>
      <c r="C167" s="3">
        <v>654.04999999999995</v>
      </c>
      <c r="D167" s="3">
        <v>628.75</v>
      </c>
      <c r="E167" s="3">
        <v>656.9</v>
      </c>
      <c r="F167" s="3">
        <v>642</v>
      </c>
      <c r="H167" s="10">
        <f t="shared" si="2"/>
        <v>-2.2682295630994029E-2</v>
      </c>
    </row>
    <row r="168" spans="1:8">
      <c r="A168" s="2">
        <v>45506</v>
      </c>
      <c r="B168" s="3">
        <v>654.79999999999995</v>
      </c>
      <c r="C168" s="3">
        <v>666</v>
      </c>
      <c r="D168" s="3">
        <v>646.54999999999995</v>
      </c>
      <c r="E168" s="3">
        <v>657.2</v>
      </c>
      <c r="F168" s="3">
        <v>656.9</v>
      </c>
      <c r="H168" s="10">
        <f t="shared" si="2"/>
        <v>-4.5648204503966554E-4</v>
      </c>
    </row>
    <row r="169" spans="1:8">
      <c r="A169" s="2">
        <v>45505</v>
      </c>
      <c r="B169" s="3">
        <v>678.4</v>
      </c>
      <c r="C169" s="3">
        <v>682.75</v>
      </c>
      <c r="D169" s="3">
        <v>655.04999999999995</v>
      </c>
      <c r="E169" s="3">
        <v>678.9</v>
      </c>
      <c r="F169" s="3">
        <v>657.2</v>
      </c>
      <c r="H169" s="10">
        <f t="shared" si="2"/>
        <v>-3.1963470319634604E-2</v>
      </c>
    </row>
    <row r="170" spans="1:8">
      <c r="A170" s="2">
        <v>45504</v>
      </c>
      <c r="B170" s="3">
        <v>680.7</v>
      </c>
      <c r="C170" s="3">
        <v>686.9</v>
      </c>
      <c r="D170" s="3">
        <v>674.1</v>
      </c>
      <c r="E170" s="3">
        <v>677.25</v>
      </c>
      <c r="F170" s="3">
        <v>678.9</v>
      </c>
      <c r="H170" s="10">
        <f t="shared" si="2"/>
        <v>2.4363233665558913E-3</v>
      </c>
    </row>
    <row r="171" spans="1:8">
      <c r="A171" s="2">
        <v>45503</v>
      </c>
      <c r="B171" s="3">
        <v>674</v>
      </c>
      <c r="C171" s="3">
        <v>687.3</v>
      </c>
      <c r="D171" s="3">
        <v>671.2</v>
      </c>
      <c r="E171" s="3">
        <v>668.5</v>
      </c>
      <c r="F171" s="3">
        <v>677.25</v>
      </c>
      <c r="H171" s="10">
        <f t="shared" si="2"/>
        <v>1.3089005235602094E-2</v>
      </c>
    </row>
    <row r="172" spans="1:8">
      <c r="A172" s="2">
        <v>45502</v>
      </c>
      <c r="B172" s="3">
        <v>649.20000000000005</v>
      </c>
      <c r="C172" s="3">
        <v>670</v>
      </c>
      <c r="D172" s="3">
        <v>649.20000000000005</v>
      </c>
      <c r="E172" s="3">
        <v>648.45000000000005</v>
      </c>
      <c r="F172" s="3">
        <v>668.5</v>
      </c>
      <c r="H172" s="10">
        <f t="shared" si="2"/>
        <v>3.091988588171787E-2</v>
      </c>
    </row>
    <row r="173" spans="1:8">
      <c r="A173" s="2">
        <v>45499</v>
      </c>
      <c r="B173" s="3">
        <v>649.45000000000005</v>
      </c>
      <c r="C173" s="3">
        <v>653.65</v>
      </c>
      <c r="D173" s="3">
        <v>644</v>
      </c>
      <c r="E173" s="3">
        <v>649.45000000000005</v>
      </c>
      <c r="F173" s="3">
        <v>648.45000000000005</v>
      </c>
      <c r="H173" s="10">
        <f t="shared" si="2"/>
        <v>-1.5397644160443451E-3</v>
      </c>
    </row>
    <row r="174" spans="1:8">
      <c r="A174" s="2">
        <v>45498</v>
      </c>
      <c r="B174" s="3">
        <v>647.95000000000005</v>
      </c>
      <c r="C174" s="3">
        <v>654</v>
      </c>
      <c r="D174" s="3">
        <v>641.04999999999995</v>
      </c>
      <c r="E174" s="3">
        <v>648.75</v>
      </c>
      <c r="F174" s="3">
        <v>649.45000000000005</v>
      </c>
      <c r="H174" s="10">
        <f t="shared" si="2"/>
        <v>1.0789980732177965E-3</v>
      </c>
    </row>
    <row r="175" spans="1:8">
      <c r="A175" s="2">
        <v>45497</v>
      </c>
      <c r="B175" s="3">
        <v>634.5</v>
      </c>
      <c r="C175" s="3">
        <v>656.9</v>
      </c>
      <c r="D175" s="3">
        <v>631</v>
      </c>
      <c r="E175" s="3">
        <v>634.45000000000005</v>
      </c>
      <c r="F175" s="3">
        <v>648.75</v>
      </c>
      <c r="H175" s="10">
        <f t="shared" si="2"/>
        <v>2.2539207187327534E-2</v>
      </c>
    </row>
    <row r="176" spans="1:8">
      <c r="A176" s="2">
        <v>45496</v>
      </c>
      <c r="B176" s="3">
        <v>647.9</v>
      </c>
      <c r="C176" s="3">
        <v>650</v>
      </c>
      <c r="D176" s="3">
        <v>617.1</v>
      </c>
      <c r="E176" s="3">
        <v>643.5</v>
      </c>
      <c r="F176" s="3">
        <v>634.45000000000005</v>
      </c>
      <c r="H176" s="10">
        <f t="shared" si="2"/>
        <v>-1.4063714063713994E-2</v>
      </c>
    </row>
    <row r="177" spans="1:8">
      <c r="A177" s="2">
        <v>45495</v>
      </c>
      <c r="B177" s="3">
        <v>612</v>
      </c>
      <c r="C177" s="3">
        <v>645.9</v>
      </c>
      <c r="D177" s="3">
        <v>612</v>
      </c>
      <c r="E177" s="3">
        <v>619.20000000000005</v>
      </c>
      <c r="F177" s="3">
        <v>643.5</v>
      </c>
      <c r="H177" s="10">
        <f t="shared" si="2"/>
        <v>3.9244186046511552E-2</v>
      </c>
    </row>
    <row r="178" spans="1:8">
      <c r="A178" s="2">
        <v>45492</v>
      </c>
      <c r="B178" s="3">
        <v>634.4</v>
      </c>
      <c r="C178" s="3">
        <v>637.70000000000005</v>
      </c>
      <c r="D178" s="3">
        <v>612.4</v>
      </c>
      <c r="E178" s="3">
        <v>634.4</v>
      </c>
      <c r="F178" s="3">
        <v>619.20000000000005</v>
      </c>
      <c r="H178" s="10">
        <f t="shared" si="2"/>
        <v>-2.3959646910466478E-2</v>
      </c>
    </row>
    <row r="179" spans="1:8">
      <c r="A179" s="2">
        <v>45491</v>
      </c>
      <c r="B179" s="3">
        <v>637.79999999999995</v>
      </c>
      <c r="C179" s="3">
        <v>646.45000000000005</v>
      </c>
      <c r="D179" s="3">
        <v>628.5</v>
      </c>
      <c r="E179" s="3">
        <v>637.79999999999995</v>
      </c>
      <c r="F179" s="3">
        <v>634.4</v>
      </c>
      <c r="H179" s="10">
        <f t="shared" si="2"/>
        <v>-5.3308247099403848E-3</v>
      </c>
    </row>
    <row r="180" spans="1:8">
      <c r="A180" s="2">
        <v>45489</v>
      </c>
      <c r="B180" s="3">
        <v>642.5</v>
      </c>
      <c r="C180" s="3">
        <v>651.54999999999995</v>
      </c>
      <c r="D180" s="3">
        <v>636.29999999999995</v>
      </c>
      <c r="E180" s="3">
        <v>642.5</v>
      </c>
      <c r="F180" s="3">
        <v>637.79999999999995</v>
      </c>
      <c r="H180" s="10">
        <f t="shared" si="2"/>
        <v>-7.3151750972763356E-3</v>
      </c>
    </row>
    <row r="181" spans="1:8">
      <c r="A181" s="2">
        <v>45488</v>
      </c>
      <c r="B181" s="3">
        <v>634.70000000000005</v>
      </c>
      <c r="C181" s="3">
        <v>649.35</v>
      </c>
      <c r="D181" s="3">
        <v>631.29999999999995</v>
      </c>
      <c r="E181" s="3">
        <v>634.70000000000005</v>
      </c>
      <c r="F181" s="3">
        <v>642.5</v>
      </c>
      <c r="H181" s="10">
        <f t="shared" si="2"/>
        <v>1.228927052150615E-2</v>
      </c>
    </row>
    <row r="182" spans="1:8">
      <c r="A182" s="2">
        <v>45485</v>
      </c>
      <c r="B182" s="3">
        <v>645.15</v>
      </c>
      <c r="C182" s="3">
        <v>650.5</v>
      </c>
      <c r="D182" s="3">
        <v>633.6</v>
      </c>
      <c r="E182" s="3">
        <v>645.1</v>
      </c>
      <c r="F182" s="3">
        <v>634.70000000000005</v>
      </c>
      <c r="H182" s="10">
        <f t="shared" si="2"/>
        <v>-1.6121531545496788E-2</v>
      </c>
    </row>
    <row r="183" spans="1:8">
      <c r="A183" s="2">
        <v>45484</v>
      </c>
      <c r="B183" s="3">
        <v>652.45000000000005</v>
      </c>
      <c r="C183" s="3">
        <v>654.04999999999995</v>
      </c>
      <c r="D183" s="3">
        <v>642.15</v>
      </c>
      <c r="E183" s="3">
        <v>652.45000000000005</v>
      </c>
      <c r="F183" s="3">
        <v>645.1</v>
      </c>
      <c r="H183" s="10">
        <f t="shared" si="2"/>
        <v>-1.1265231052187942E-2</v>
      </c>
    </row>
    <row r="184" spans="1:8">
      <c r="A184" s="2">
        <v>45483</v>
      </c>
      <c r="B184" s="3">
        <v>658</v>
      </c>
      <c r="C184" s="3">
        <v>662.8</v>
      </c>
      <c r="D184" s="3">
        <v>635.70000000000005</v>
      </c>
      <c r="E184" s="3">
        <v>650</v>
      </c>
      <c r="F184" s="3">
        <v>652.45000000000005</v>
      </c>
      <c r="H184" s="10">
        <f t="shared" si="2"/>
        <v>3.7692307692308393E-3</v>
      </c>
    </row>
    <row r="185" spans="1:8">
      <c r="A185" s="2">
        <v>45482</v>
      </c>
      <c r="B185" s="3">
        <v>658</v>
      </c>
      <c r="C185" s="3">
        <v>661</v>
      </c>
      <c r="D185" s="3">
        <v>642.25</v>
      </c>
      <c r="E185" s="3">
        <v>653.35</v>
      </c>
      <c r="F185" s="3">
        <v>650</v>
      </c>
      <c r="H185" s="10">
        <f t="shared" si="2"/>
        <v>-5.1274202188720018E-3</v>
      </c>
    </row>
    <row r="186" spans="1:8">
      <c r="A186" s="2">
        <v>45481</v>
      </c>
      <c r="B186" s="3">
        <v>649</v>
      </c>
      <c r="C186" s="3">
        <v>655.55</v>
      </c>
      <c r="D186" s="3">
        <v>639</v>
      </c>
      <c r="E186" s="3">
        <v>644.4</v>
      </c>
      <c r="F186" s="3">
        <v>653.35</v>
      </c>
      <c r="H186" s="10">
        <f t="shared" si="2"/>
        <v>1.3888888888888959E-2</v>
      </c>
    </row>
    <row r="187" spans="1:8">
      <c r="A187" s="2">
        <v>45478</v>
      </c>
      <c r="B187" s="3">
        <v>632.9</v>
      </c>
      <c r="C187" s="3">
        <v>649.70000000000005</v>
      </c>
      <c r="D187" s="3">
        <v>630.04999999999995</v>
      </c>
      <c r="E187" s="3">
        <v>632.85</v>
      </c>
      <c r="F187" s="3">
        <v>644.4</v>
      </c>
      <c r="H187" s="10">
        <f t="shared" si="2"/>
        <v>1.8250770324721426E-2</v>
      </c>
    </row>
    <row r="188" spans="1:8">
      <c r="A188" s="2">
        <v>45477</v>
      </c>
      <c r="B188" s="3">
        <v>637</v>
      </c>
      <c r="C188" s="3">
        <v>637.85</v>
      </c>
      <c r="D188" s="3">
        <v>628.20000000000005</v>
      </c>
      <c r="E188" s="3">
        <v>637.85</v>
      </c>
      <c r="F188" s="3">
        <v>632.85</v>
      </c>
      <c r="H188" s="10">
        <f t="shared" si="2"/>
        <v>-7.8388335815630632E-3</v>
      </c>
    </row>
    <row r="189" spans="1:8">
      <c r="A189" s="2">
        <v>45476</v>
      </c>
      <c r="B189" s="3">
        <v>651.95000000000005</v>
      </c>
      <c r="C189" s="3">
        <v>654.4</v>
      </c>
      <c r="D189" s="3">
        <v>634.75</v>
      </c>
      <c r="E189" s="3">
        <v>650.85</v>
      </c>
      <c r="F189" s="3">
        <v>637.85</v>
      </c>
      <c r="H189" s="10">
        <f t="shared" si="2"/>
        <v>-1.997388031036337E-2</v>
      </c>
    </row>
    <row r="190" spans="1:8">
      <c r="A190" s="2">
        <v>45475</v>
      </c>
      <c r="B190" s="3">
        <v>653</v>
      </c>
      <c r="C190" s="3">
        <v>663.4</v>
      </c>
      <c r="D190" s="3">
        <v>647.54999999999995</v>
      </c>
      <c r="E190" s="3">
        <v>646.95000000000005</v>
      </c>
      <c r="F190" s="3">
        <v>650.85</v>
      </c>
      <c r="H190" s="10">
        <f t="shared" si="2"/>
        <v>6.0282865754694749E-3</v>
      </c>
    </row>
    <row r="191" spans="1:8">
      <c r="A191" s="2">
        <v>45474</v>
      </c>
      <c r="B191" s="3">
        <v>628.45000000000005</v>
      </c>
      <c r="C191" s="3">
        <v>650</v>
      </c>
      <c r="D191" s="3">
        <v>627.45000000000005</v>
      </c>
      <c r="E191" s="3">
        <v>628.45000000000005</v>
      </c>
      <c r="F191" s="3">
        <v>646.95000000000005</v>
      </c>
      <c r="H191" s="10">
        <f t="shared" si="2"/>
        <v>2.9437504972551515E-2</v>
      </c>
    </row>
    <row r="192" spans="1:8">
      <c r="A192" s="2">
        <v>45471</v>
      </c>
      <c r="B192" s="3">
        <v>627.9</v>
      </c>
      <c r="C192" s="3">
        <v>642.1</v>
      </c>
      <c r="D192" s="3">
        <v>623.04999999999995</v>
      </c>
      <c r="E192" s="3">
        <v>627.04999999999995</v>
      </c>
      <c r="F192" s="3">
        <v>628.45000000000005</v>
      </c>
      <c r="H192" s="10">
        <f t="shared" si="2"/>
        <v>2.2326768200304457E-3</v>
      </c>
    </row>
    <row r="193" spans="1:8">
      <c r="A193" s="2">
        <v>45470</v>
      </c>
      <c r="B193" s="3">
        <v>623.95000000000005</v>
      </c>
      <c r="C193" s="3">
        <v>638.70000000000005</v>
      </c>
      <c r="D193" s="3">
        <v>610.45000000000005</v>
      </c>
      <c r="E193" s="3">
        <v>620.95000000000005</v>
      </c>
      <c r="F193" s="3">
        <v>627.04999999999995</v>
      </c>
      <c r="H193" s="10">
        <f t="shared" si="2"/>
        <v>9.823657299299314E-3</v>
      </c>
    </row>
    <row r="194" spans="1:8">
      <c r="A194" s="2">
        <v>45469</v>
      </c>
      <c r="B194" s="3">
        <v>612.9</v>
      </c>
      <c r="C194" s="3">
        <v>623.20000000000005</v>
      </c>
      <c r="D194" s="3">
        <v>608.1</v>
      </c>
      <c r="E194" s="3">
        <v>612.9</v>
      </c>
      <c r="F194" s="3">
        <v>620.95000000000005</v>
      </c>
      <c r="H194" s="10">
        <f t="shared" si="2"/>
        <v>1.3134279654103555E-2</v>
      </c>
    </row>
    <row r="195" spans="1:8">
      <c r="A195" s="2">
        <v>45468</v>
      </c>
      <c r="B195" s="3">
        <v>607.79999999999995</v>
      </c>
      <c r="C195" s="3">
        <v>618.9</v>
      </c>
      <c r="D195" s="3">
        <v>607.79999999999995</v>
      </c>
      <c r="E195" s="3">
        <v>607.79999999999995</v>
      </c>
      <c r="F195" s="3">
        <v>612.9</v>
      </c>
      <c r="H195" s="10">
        <f t="shared" si="2"/>
        <v>8.3909180651530486E-3</v>
      </c>
    </row>
    <row r="196" spans="1:8">
      <c r="A196" s="2">
        <v>45467</v>
      </c>
      <c r="B196" s="3">
        <v>595</v>
      </c>
      <c r="C196" s="3">
        <v>613.6</v>
      </c>
      <c r="D196" s="3">
        <v>580.45000000000005</v>
      </c>
      <c r="E196" s="3">
        <v>599.75</v>
      </c>
      <c r="F196" s="3">
        <v>607.79999999999995</v>
      </c>
      <c r="H196" s="10">
        <f t="shared" si="2"/>
        <v>1.3422259274697715E-2</v>
      </c>
    </row>
    <row r="197" spans="1:8">
      <c r="A197" s="2">
        <v>45464</v>
      </c>
      <c r="B197" s="3">
        <v>608.1</v>
      </c>
      <c r="C197" s="3">
        <v>613.45000000000005</v>
      </c>
      <c r="D197" s="3">
        <v>595.35</v>
      </c>
      <c r="E197" s="3">
        <v>608.29999999999995</v>
      </c>
      <c r="F197" s="3">
        <v>599.75</v>
      </c>
      <c r="H197" s="10">
        <f t="shared" ref="H197:H252" si="3">(F197-E197)/E197</f>
        <v>-1.4055564688476007E-2</v>
      </c>
    </row>
    <row r="198" spans="1:8">
      <c r="A198" s="2">
        <v>45463</v>
      </c>
      <c r="B198" s="3">
        <v>612.04999999999995</v>
      </c>
      <c r="C198" s="3">
        <v>623.29999999999995</v>
      </c>
      <c r="D198" s="3">
        <v>605.95000000000005</v>
      </c>
      <c r="E198" s="3">
        <v>612.04999999999995</v>
      </c>
      <c r="F198" s="3">
        <v>608.29999999999995</v>
      </c>
      <c r="H198" s="10">
        <f t="shared" si="3"/>
        <v>-6.1269504125479948E-3</v>
      </c>
    </row>
    <row r="199" spans="1:8">
      <c r="A199" s="2">
        <v>45462</v>
      </c>
      <c r="B199" s="3">
        <v>635.25</v>
      </c>
      <c r="C199" s="3">
        <v>635.25</v>
      </c>
      <c r="D199" s="3">
        <v>610.20000000000005</v>
      </c>
      <c r="E199" s="3">
        <v>635.25</v>
      </c>
      <c r="F199" s="3">
        <v>612.04999999999995</v>
      </c>
      <c r="H199" s="10">
        <f t="shared" si="3"/>
        <v>-3.6521054702872958E-2</v>
      </c>
    </row>
    <row r="200" spans="1:8">
      <c r="A200" s="2">
        <v>45461</v>
      </c>
      <c r="B200" s="3">
        <v>632.04999999999995</v>
      </c>
      <c r="C200" s="3">
        <v>638.5</v>
      </c>
      <c r="D200" s="3">
        <v>622.5</v>
      </c>
      <c r="E200" s="3">
        <v>632.04999999999995</v>
      </c>
      <c r="F200" s="3">
        <v>635.25</v>
      </c>
      <c r="H200" s="10">
        <f t="shared" si="3"/>
        <v>5.0628905940986405E-3</v>
      </c>
    </row>
    <row r="201" spans="1:8">
      <c r="A201" s="2">
        <v>45457</v>
      </c>
      <c r="B201" s="3">
        <v>646.20000000000005</v>
      </c>
      <c r="C201" s="3">
        <v>648.95000000000005</v>
      </c>
      <c r="D201" s="3">
        <v>626.85</v>
      </c>
      <c r="E201" s="3">
        <v>636.20000000000005</v>
      </c>
      <c r="F201" s="3">
        <v>632.04999999999995</v>
      </c>
      <c r="H201" s="10">
        <f t="shared" si="3"/>
        <v>-6.5231059415279636E-3</v>
      </c>
    </row>
    <row r="202" spans="1:8">
      <c r="A202" s="2">
        <v>45456</v>
      </c>
      <c r="B202" s="3">
        <v>615.5</v>
      </c>
      <c r="C202" s="3">
        <v>644.1</v>
      </c>
      <c r="D202" s="3">
        <v>610.9</v>
      </c>
      <c r="E202" s="3">
        <v>610.5</v>
      </c>
      <c r="F202" s="3">
        <v>636.20000000000005</v>
      </c>
      <c r="H202" s="10">
        <f t="shared" si="3"/>
        <v>4.209664209664217E-2</v>
      </c>
    </row>
    <row r="203" spans="1:8">
      <c r="A203" s="2">
        <v>45455</v>
      </c>
      <c r="B203" s="3">
        <v>613.75</v>
      </c>
      <c r="C203" s="3">
        <v>616</v>
      </c>
      <c r="D203" s="3">
        <v>603</v>
      </c>
      <c r="E203" s="3">
        <v>607.75</v>
      </c>
      <c r="F203" s="3">
        <v>610.5</v>
      </c>
      <c r="H203" s="10">
        <f t="shared" si="3"/>
        <v>4.5248868778280547E-3</v>
      </c>
    </row>
    <row r="204" spans="1:8">
      <c r="A204" s="2">
        <v>45454</v>
      </c>
      <c r="B204" s="3">
        <v>593.79999999999995</v>
      </c>
      <c r="C204" s="3">
        <v>618</v>
      </c>
      <c r="D204" s="3">
        <v>577</v>
      </c>
      <c r="E204" s="3">
        <v>590</v>
      </c>
      <c r="F204" s="3">
        <v>607.75</v>
      </c>
      <c r="H204" s="10">
        <f t="shared" si="3"/>
        <v>3.0084745762711865E-2</v>
      </c>
    </row>
    <row r="205" spans="1:8">
      <c r="A205" s="2">
        <v>45453</v>
      </c>
      <c r="B205" s="3">
        <v>594.79999999999995</v>
      </c>
      <c r="C205" s="3">
        <v>598</v>
      </c>
      <c r="D205" s="3">
        <v>577.4</v>
      </c>
      <c r="E205" s="3">
        <v>588.70000000000005</v>
      </c>
      <c r="F205" s="3">
        <v>590</v>
      </c>
      <c r="H205" s="10">
        <f t="shared" si="3"/>
        <v>2.2082554781721665E-3</v>
      </c>
    </row>
    <row r="206" spans="1:8">
      <c r="A206" s="2">
        <v>45450</v>
      </c>
      <c r="B206" s="3">
        <v>577</v>
      </c>
      <c r="C206" s="3">
        <v>590</v>
      </c>
      <c r="D206" s="3">
        <v>567.04999999999995</v>
      </c>
      <c r="E206" s="3">
        <v>571.1</v>
      </c>
      <c r="F206" s="3">
        <v>588.70000000000005</v>
      </c>
      <c r="H206" s="10">
        <f t="shared" si="3"/>
        <v>3.0817720189108777E-2</v>
      </c>
    </row>
    <row r="207" spans="1:8">
      <c r="A207" s="2">
        <v>45449</v>
      </c>
      <c r="B207" s="3">
        <v>554.35</v>
      </c>
      <c r="C207" s="3">
        <v>576</v>
      </c>
      <c r="D207" s="3">
        <v>551.4</v>
      </c>
      <c r="E207" s="3">
        <v>550.20000000000005</v>
      </c>
      <c r="F207" s="3">
        <v>571.1</v>
      </c>
      <c r="H207" s="10">
        <f t="shared" si="3"/>
        <v>3.7986186841148628E-2</v>
      </c>
    </row>
    <row r="208" spans="1:8">
      <c r="A208" s="2">
        <v>45448</v>
      </c>
      <c r="B208" s="3">
        <v>537.25</v>
      </c>
      <c r="C208" s="3">
        <v>553.70000000000005</v>
      </c>
      <c r="D208" s="3">
        <v>514.25</v>
      </c>
      <c r="E208" s="3">
        <v>533.29999999999995</v>
      </c>
      <c r="F208" s="3">
        <v>550.20000000000005</v>
      </c>
      <c r="H208" s="10">
        <f t="shared" si="3"/>
        <v>3.1689480592537206E-2</v>
      </c>
    </row>
    <row r="209" spans="1:8">
      <c r="A209" s="2">
        <v>45447</v>
      </c>
      <c r="B209" s="3">
        <v>570</v>
      </c>
      <c r="C209" s="3">
        <v>571.70000000000005</v>
      </c>
      <c r="D209" s="3">
        <v>490</v>
      </c>
      <c r="E209" s="3">
        <v>569.45000000000005</v>
      </c>
      <c r="F209" s="3">
        <v>533.29999999999995</v>
      </c>
      <c r="H209" s="10">
        <f t="shared" si="3"/>
        <v>-6.3482307489683185E-2</v>
      </c>
    </row>
    <row r="210" spans="1:8">
      <c r="A210" s="2">
        <v>45446</v>
      </c>
      <c r="B210" s="3">
        <v>560</v>
      </c>
      <c r="C210" s="3">
        <v>577</v>
      </c>
      <c r="D210" s="3">
        <v>555.35</v>
      </c>
      <c r="E210" s="3">
        <v>551.35</v>
      </c>
      <c r="F210" s="3">
        <v>569.45000000000005</v>
      </c>
      <c r="H210" s="10">
        <f t="shared" si="3"/>
        <v>3.2828511834587869E-2</v>
      </c>
    </row>
    <row r="211" spans="1:8">
      <c r="A211" s="2">
        <v>45443</v>
      </c>
      <c r="B211" s="3">
        <v>538.1</v>
      </c>
      <c r="C211" s="3">
        <v>558</v>
      </c>
      <c r="D211" s="3">
        <v>538.1</v>
      </c>
      <c r="E211" s="3">
        <v>540</v>
      </c>
      <c r="F211" s="3">
        <v>551.35</v>
      </c>
      <c r="H211" s="10">
        <f t="shared" si="3"/>
        <v>2.1018518518518561E-2</v>
      </c>
    </row>
    <row r="212" spans="1:8">
      <c r="A212" s="2">
        <v>45442</v>
      </c>
      <c r="B212" s="3">
        <v>555.04999999999995</v>
      </c>
      <c r="C212" s="3">
        <v>555.04999999999995</v>
      </c>
      <c r="D212" s="3">
        <v>535.65</v>
      </c>
      <c r="E212" s="3">
        <v>555.04999999999995</v>
      </c>
      <c r="F212" s="3">
        <v>540</v>
      </c>
      <c r="H212" s="10">
        <f t="shared" si="3"/>
        <v>-2.7114674353661751E-2</v>
      </c>
    </row>
    <row r="213" spans="1:8">
      <c r="A213" s="2">
        <v>45441</v>
      </c>
      <c r="B213" s="3">
        <v>548.20000000000005</v>
      </c>
      <c r="C213" s="3">
        <v>557.54999999999995</v>
      </c>
      <c r="D213" s="3">
        <v>544.54999999999995</v>
      </c>
      <c r="E213" s="3">
        <v>547.35</v>
      </c>
      <c r="F213" s="3">
        <v>555.04999999999995</v>
      </c>
      <c r="H213" s="10">
        <f t="shared" si="3"/>
        <v>1.406778112724935E-2</v>
      </c>
    </row>
    <row r="214" spans="1:8">
      <c r="A214" s="2">
        <v>45440</v>
      </c>
      <c r="B214" s="3">
        <v>554</v>
      </c>
      <c r="C214" s="3">
        <v>559.95000000000005</v>
      </c>
      <c r="D214" s="3">
        <v>540</v>
      </c>
      <c r="E214" s="3">
        <v>554.4</v>
      </c>
      <c r="F214" s="3">
        <v>547.35</v>
      </c>
      <c r="H214" s="10">
        <f t="shared" si="3"/>
        <v>-1.2716450216450135E-2</v>
      </c>
    </row>
    <row r="215" spans="1:8">
      <c r="A215" s="2">
        <v>45439</v>
      </c>
      <c r="B215" s="3">
        <v>560.95000000000005</v>
      </c>
      <c r="C215" s="3">
        <v>562.79999999999995</v>
      </c>
      <c r="D215" s="3">
        <v>551.15</v>
      </c>
      <c r="E215" s="3">
        <v>556.5</v>
      </c>
      <c r="F215" s="3">
        <v>554.4</v>
      </c>
      <c r="H215" s="10">
        <f t="shared" si="3"/>
        <v>-3.7735849056604182E-3</v>
      </c>
    </row>
    <row r="216" spans="1:8">
      <c r="A216" s="2">
        <v>45436</v>
      </c>
      <c r="B216" s="3">
        <v>560</v>
      </c>
      <c r="C216" s="3">
        <v>567</v>
      </c>
      <c r="D216" s="3">
        <v>555.20000000000005</v>
      </c>
      <c r="E216" s="3">
        <v>560.75</v>
      </c>
      <c r="F216" s="3">
        <v>556.5</v>
      </c>
      <c r="H216" s="10">
        <f t="shared" si="3"/>
        <v>-7.5791350869371379E-3</v>
      </c>
    </row>
    <row r="217" spans="1:8">
      <c r="A217" s="2">
        <v>45435</v>
      </c>
      <c r="B217" s="3">
        <v>563</v>
      </c>
      <c r="C217" s="3">
        <v>563.54999999999995</v>
      </c>
      <c r="D217" s="3">
        <v>550.1</v>
      </c>
      <c r="E217" s="3">
        <v>558</v>
      </c>
      <c r="F217" s="3">
        <v>560.75</v>
      </c>
      <c r="H217" s="10">
        <f t="shared" si="3"/>
        <v>4.9283154121863796E-3</v>
      </c>
    </row>
    <row r="218" spans="1:8">
      <c r="A218" s="2">
        <v>45434</v>
      </c>
      <c r="B218" s="3">
        <v>563</v>
      </c>
      <c r="C218" s="3">
        <v>568.45000000000005</v>
      </c>
      <c r="D218" s="3">
        <v>556.04999999999995</v>
      </c>
      <c r="E218" s="3">
        <v>560.79999999999995</v>
      </c>
      <c r="F218" s="3">
        <v>558</v>
      </c>
      <c r="H218" s="10">
        <f t="shared" si="3"/>
        <v>-4.99286733238223E-3</v>
      </c>
    </row>
    <row r="219" spans="1:8">
      <c r="A219" s="2">
        <v>45433</v>
      </c>
      <c r="B219" s="3">
        <v>554</v>
      </c>
      <c r="C219" s="3">
        <v>563</v>
      </c>
      <c r="D219" s="3">
        <v>550.35</v>
      </c>
      <c r="E219" s="3">
        <v>553.75</v>
      </c>
      <c r="F219" s="3">
        <v>560.79999999999995</v>
      </c>
      <c r="H219" s="10">
        <f t="shared" si="3"/>
        <v>1.2731376975169219E-2</v>
      </c>
    </row>
    <row r="220" spans="1:8">
      <c r="A220" s="2">
        <v>45430</v>
      </c>
      <c r="B220" s="3">
        <v>555</v>
      </c>
      <c r="C220" s="3">
        <v>558.20000000000005</v>
      </c>
      <c r="D220" s="3">
        <v>551.15</v>
      </c>
      <c r="E220" s="3">
        <v>551.70000000000005</v>
      </c>
      <c r="F220" s="3">
        <v>553.75</v>
      </c>
      <c r="H220" s="10">
        <f t="shared" si="3"/>
        <v>3.7157875657059169E-3</v>
      </c>
    </row>
    <row r="221" spans="1:8">
      <c r="A221" s="2">
        <v>45429</v>
      </c>
      <c r="B221" s="3">
        <v>551.20000000000005</v>
      </c>
      <c r="C221" s="3">
        <v>556.70000000000005</v>
      </c>
      <c r="D221" s="3">
        <v>543.4</v>
      </c>
      <c r="E221" s="3">
        <v>550.9</v>
      </c>
      <c r="F221" s="3">
        <v>551.70000000000005</v>
      </c>
      <c r="H221" s="10">
        <f t="shared" si="3"/>
        <v>1.452169177709327E-3</v>
      </c>
    </row>
    <row r="222" spans="1:8">
      <c r="A222" s="2">
        <v>45428</v>
      </c>
      <c r="B222" s="3">
        <v>544.9</v>
      </c>
      <c r="C222" s="3">
        <v>553.70000000000005</v>
      </c>
      <c r="D222" s="3">
        <v>539.29999999999995</v>
      </c>
      <c r="E222" s="3">
        <v>542.54999999999995</v>
      </c>
      <c r="F222" s="3">
        <v>550.9</v>
      </c>
      <c r="H222" s="10">
        <f t="shared" si="3"/>
        <v>1.5390286609529119E-2</v>
      </c>
    </row>
    <row r="223" spans="1:8">
      <c r="A223" s="2">
        <v>45427</v>
      </c>
      <c r="B223" s="3">
        <v>551.35</v>
      </c>
      <c r="C223" s="3">
        <v>551.35</v>
      </c>
      <c r="D223" s="3">
        <v>541.45000000000005</v>
      </c>
      <c r="E223" s="3">
        <v>551.4</v>
      </c>
      <c r="F223" s="3">
        <v>542.54999999999995</v>
      </c>
      <c r="H223" s="10">
        <f t="shared" si="3"/>
        <v>-1.6050054406964134E-2</v>
      </c>
    </row>
    <row r="224" spans="1:8">
      <c r="A224" s="2">
        <v>45426</v>
      </c>
      <c r="B224" s="3">
        <v>539.54999999999995</v>
      </c>
      <c r="C224" s="3">
        <v>553.9</v>
      </c>
      <c r="D224" s="3">
        <v>535.04999999999995</v>
      </c>
      <c r="E224" s="3">
        <v>536.75</v>
      </c>
      <c r="F224" s="3">
        <v>551.4</v>
      </c>
      <c r="H224" s="10">
        <f t="shared" si="3"/>
        <v>2.7293898462971547E-2</v>
      </c>
    </row>
    <row r="225" spans="1:8">
      <c r="A225" s="2">
        <v>45425</v>
      </c>
      <c r="B225" s="3">
        <v>531</v>
      </c>
      <c r="C225" s="3">
        <v>539.25</v>
      </c>
      <c r="D225" s="3">
        <v>519.35</v>
      </c>
      <c r="E225" s="3">
        <v>530.04999999999995</v>
      </c>
      <c r="F225" s="3">
        <v>536.75</v>
      </c>
      <c r="H225" s="10">
        <f t="shared" si="3"/>
        <v>1.2640316951231103E-2</v>
      </c>
    </row>
    <row r="226" spans="1:8">
      <c r="A226" s="2">
        <v>45422</v>
      </c>
      <c r="B226" s="3">
        <v>533.4</v>
      </c>
      <c r="C226" s="3">
        <v>538</v>
      </c>
      <c r="D226" s="3">
        <v>523.25</v>
      </c>
      <c r="E226" s="3">
        <v>531.95000000000005</v>
      </c>
      <c r="F226" s="3">
        <v>530.04999999999995</v>
      </c>
      <c r="H226" s="10">
        <f t="shared" si="3"/>
        <v>-3.5717642635587758E-3</v>
      </c>
    </row>
    <row r="227" spans="1:8">
      <c r="A227" s="2">
        <v>45421</v>
      </c>
      <c r="B227" s="3">
        <v>549</v>
      </c>
      <c r="C227" s="3">
        <v>551.29999999999995</v>
      </c>
      <c r="D227" s="3">
        <v>530</v>
      </c>
      <c r="E227" s="3">
        <v>546.25</v>
      </c>
      <c r="F227" s="3">
        <v>531.95000000000005</v>
      </c>
      <c r="H227" s="10">
        <f t="shared" si="3"/>
        <v>-2.6178489702517078E-2</v>
      </c>
    </row>
    <row r="228" spans="1:8">
      <c r="A228" s="2">
        <v>45420</v>
      </c>
      <c r="B228" s="3">
        <v>538.95000000000005</v>
      </c>
      <c r="C228" s="3">
        <v>556</v>
      </c>
      <c r="D228" s="3">
        <v>536.15</v>
      </c>
      <c r="E228" s="3">
        <v>538.4</v>
      </c>
      <c r="F228" s="3">
        <v>546.25</v>
      </c>
      <c r="H228" s="10">
        <f t="shared" si="3"/>
        <v>1.458023774145621E-2</v>
      </c>
    </row>
    <row r="229" spans="1:8">
      <c r="A229" s="2">
        <v>45419</v>
      </c>
      <c r="B229" s="3">
        <v>563</v>
      </c>
      <c r="C229" s="3">
        <v>567</v>
      </c>
      <c r="D229" s="3">
        <v>534.20000000000005</v>
      </c>
      <c r="E229" s="3">
        <v>548.20000000000005</v>
      </c>
      <c r="F229" s="3">
        <v>538.4</v>
      </c>
      <c r="H229" s="10">
        <f t="shared" si="3"/>
        <v>-1.7876687340386842E-2</v>
      </c>
    </row>
    <row r="230" spans="1:8">
      <c r="A230" s="2">
        <v>45418</v>
      </c>
      <c r="B230" s="3">
        <v>536.20000000000005</v>
      </c>
      <c r="C230" s="3">
        <v>561.79999999999995</v>
      </c>
      <c r="D230" s="3">
        <v>532.65</v>
      </c>
      <c r="E230" s="3">
        <v>535.9</v>
      </c>
      <c r="F230" s="3">
        <v>548.20000000000005</v>
      </c>
      <c r="H230" s="10">
        <f t="shared" si="3"/>
        <v>2.2952043291659018E-2</v>
      </c>
    </row>
    <row r="231" spans="1:8">
      <c r="A231" s="2">
        <v>45415</v>
      </c>
      <c r="B231" s="3">
        <v>539.79999999999995</v>
      </c>
      <c r="C231" s="3">
        <v>542</v>
      </c>
      <c r="D231" s="3">
        <v>530.79999999999995</v>
      </c>
      <c r="E231" s="3">
        <v>537.1</v>
      </c>
      <c r="F231" s="3">
        <v>535.9</v>
      </c>
      <c r="H231" s="10">
        <f t="shared" si="3"/>
        <v>-2.2342208154906822E-3</v>
      </c>
    </row>
    <row r="232" spans="1:8">
      <c r="A232" s="2">
        <v>45414</v>
      </c>
      <c r="B232" s="3">
        <v>548.75</v>
      </c>
      <c r="C232" s="3">
        <v>550.29999999999995</v>
      </c>
      <c r="D232" s="3">
        <v>534.70000000000005</v>
      </c>
      <c r="E232" s="3">
        <v>546.6</v>
      </c>
      <c r="F232" s="3">
        <v>537.1</v>
      </c>
      <c r="H232" s="10">
        <f t="shared" si="3"/>
        <v>-1.7380168313208925E-2</v>
      </c>
    </row>
    <row r="233" spans="1:8">
      <c r="A233" s="2">
        <v>45412</v>
      </c>
      <c r="B233" s="3">
        <v>551.54999999999995</v>
      </c>
      <c r="C233" s="3">
        <v>556.5</v>
      </c>
      <c r="D233" s="3">
        <v>545.20000000000005</v>
      </c>
      <c r="E233" s="3">
        <v>551.54999999999995</v>
      </c>
      <c r="F233" s="3">
        <v>546.6</v>
      </c>
      <c r="H233" s="10">
        <f t="shared" si="3"/>
        <v>-8.9747076420994155E-3</v>
      </c>
    </row>
    <row r="234" spans="1:8">
      <c r="A234" s="2">
        <v>45411</v>
      </c>
      <c r="B234" s="3">
        <v>554.79999999999995</v>
      </c>
      <c r="C234" s="3">
        <v>558</v>
      </c>
      <c r="D234" s="3">
        <v>548.4</v>
      </c>
      <c r="E234" s="3">
        <v>551.4</v>
      </c>
      <c r="F234" s="3">
        <v>551.54999999999995</v>
      </c>
      <c r="H234" s="10">
        <f t="shared" si="3"/>
        <v>2.7203482045697725E-4</v>
      </c>
    </row>
    <row r="235" spans="1:8">
      <c r="A235" s="2">
        <v>45408</v>
      </c>
      <c r="B235" s="3">
        <v>544.95000000000005</v>
      </c>
      <c r="C235" s="3">
        <v>557.1</v>
      </c>
      <c r="D235" s="3">
        <v>543.75</v>
      </c>
      <c r="E235" s="3">
        <v>543.20000000000005</v>
      </c>
      <c r="F235" s="3">
        <v>551.4</v>
      </c>
      <c r="H235" s="10">
        <f t="shared" si="3"/>
        <v>1.509572901325466E-2</v>
      </c>
    </row>
    <row r="236" spans="1:8">
      <c r="A236" s="2">
        <v>45407</v>
      </c>
      <c r="B236" s="3">
        <v>544.9</v>
      </c>
      <c r="C236" s="3">
        <v>547.20000000000005</v>
      </c>
      <c r="D236" s="3">
        <v>540</v>
      </c>
      <c r="E236" s="3">
        <v>544.04999999999995</v>
      </c>
      <c r="F236" s="3">
        <v>543.20000000000005</v>
      </c>
      <c r="H236" s="10">
        <f t="shared" si="3"/>
        <v>-1.5623564010659114E-3</v>
      </c>
    </row>
    <row r="237" spans="1:8">
      <c r="A237" s="2">
        <v>45406</v>
      </c>
      <c r="B237" s="3">
        <v>543.20000000000005</v>
      </c>
      <c r="C237" s="3">
        <v>548.75</v>
      </c>
      <c r="D237" s="3">
        <v>540.65</v>
      </c>
      <c r="E237" s="3">
        <v>542.1</v>
      </c>
      <c r="F237" s="3">
        <v>544.04999999999995</v>
      </c>
      <c r="H237" s="10">
        <f t="shared" si="3"/>
        <v>3.5971223021581474E-3</v>
      </c>
    </row>
    <row r="238" spans="1:8">
      <c r="A238" s="2">
        <v>45405</v>
      </c>
      <c r="B238" s="3">
        <v>543.15</v>
      </c>
      <c r="C238" s="3">
        <v>549.70000000000005</v>
      </c>
      <c r="D238" s="3">
        <v>540.04999999999995</v>
      </c>
      <c r="E238" s="3">
        <v>542.95000000000005</v>
      </c>
      <c r="F238" s="3">
        <v>542.1</v>
      </c>
      <c r="H238" s="10">
        <f t="shared" si="3"/>
        <v>-1.5655216870798833E-3</v>
      </c>
    </row>
    <row r="239" spans="1:8">
      <c r="A239" s="2">
        <v>45404</v>
      </c>
      <c r="B239" s="3">
        <v>550</v>
      </c>
      <c r="C239" s="3">
        <v>556.04999999999995</v>
      </c>
      <c r="D239" s="3">
        <v>536.25</v>
      </c>
      <c r="E239" s="3">
        <v>546.25</v>
      </c>
      <c r="F239" s="3">
        <v>542.95000000000005</v>
      </c>
      <c r="H239" s="10">
        <f t="shared" si="3"/>
        <v>-6.0411899313500316E-3</v>
      </c>
    </row>
    <row r="240" spans="1:8">
      <c r="A240" s="2">
        <v>45401</v>
      </c>
      <c r="B240" s="3">
        <v>552</v>
      </c>
      <c r="C240" s="3">
        <v>552</v>
      </c>
      <c r="D240" s="3">
        <v>535.20000000000005</v>
      </c>
      <c r="E240" s="3">
        <v>553.35</v>
      </c>
      <c r="F240" s="3">
        <v>546.25</v>
      </c>
      <c r="H240" s="10">
        <f t="shared" si="3"/>
        <v>-1.2830938827143801E-2</v>
      </c>
    </row>
    <row r="241" spans="1:8">
      <c r="A241" s="2">
        <v>45400</v>
      </c>
      <c r="B241" s="3">
        <v>557.85</v>
      </c>
      <c r="C241" s="3">
        <v>570</v>
      </c>
      <c r="D241" s="3">
        <v>550.65</v>
      </c>
      <c r="E241" s="3">
        <v>553.5</v>
      </c>
      <c r="F241" s="3">
        <v>553.35</v>
      </c>
      <c r="H241" s="10">
        <f t="shared" si="3"/>
        <v>-2.7100271002705918E-4</v>
      </c>
    </row>
    <row r="242" spans="1:8">
      <c r="A242" s="2">
        <v>45398</v>
      </c>
      <c r="B242" s="3">
        <v>584</v>
      </c>
      <c r="C242" s="3">
        <v>584</v>
      </c>
      <c r="D242" s="3">
        <v>551.9</v>
      </c>
      <c r="E242" s="3">
        <v>572.95000000000005</v>
      </c>
      <c r="F242" s="3">
        <v>553.5</v>
      </c>
      <c r="H242" s="10">
        <f t="shared" si="3"/>
        <v>-3.3947115804171472E-2</v>
      </c>
    </row>
    <row r="243" spans="1:8">
      <c r="A243" s="2">
        <v>45397</v>
      </c>
      <c r="B243" s="3">
        <v>550.54999999999995</v>
      </c>
      <c r="C243" s="3">
        <v>577.6</v>
      </c>
      <c r="D243" s="3">
        <v>540.20000000000005</v>
      </c>
      <c r="E243" s="3">
        <v>560.54999999999995</v>
      </c>
      <c r="F243" s="3">
        <v>572.95000000000005</v>
      </c>
      <c r="H243" s="10">
        <f t="shared" si="3"/>
        <v>2.2121131032022286E-2</v>
      </c>
    </row>
    <row r="244" spans="1:8">
      <c r="A244" s="2">
        <v>45394</v>
      </c>
      <c r="B244" s="3">
        <v>566</v>
      </c>
      <c r="C244" s="3">
        <v>567.6</v>
      </c>
      <c r="D244" s="3">
        <v>558.04999999999995</v>
      </c>
      <c r="E244" s="3">
        <v>565.6</v>
      </c>
      <c r="F244" s="3">
        <v>560.54999999999995</v>
      </c>
      <c r="H244" s="10">
        <f t="shared" si="3"/>
        <v>-8.9285714285715495E-3</v>
      </c>
    </row>
    <row r="245" spans="1:8">
      <c r="A245" s="2">
        <v>45392</v>
      </c>
      <c r="B245" s="3">
        <v>560</v>
      </c>
      <c r="C245" s="3">
        <v>571.9</v>
      </c>
      <c r="D245" s="3">
        <v>557.9</v>
      </c>
      <c r="E245" s="3">
        <v>557.35</v>
      </c>
      <c r="F245" s="3">
        <v>565.6</v>
      </c>
      <c r="H245" s="10">
        <f t="shared" si="3"/>
        <v>1.4802188929756885E-2</v>
      </c>
    </row>
    <row r="246" spans="1:8">
      <c r="A246" s="2">
        <v>45391</v>
      </c>
      <c r="B246" s="3">
        <v>568.20000000000005</v>
      </c>
      <c r="C246" s="3">
        <v>570</v>
      </c>
      <c r="D246" s="3">
        <v>555</v>
      </c>
      <c r="E246" s="3">
        <v>565.4</v>
      </c>
      <c r="F246" s="3">
        <v>557.35</v>
      </c>
      <c r="H246" s="10">
        <f t="shared" si="3"/>
        <v>-1.4237707817474275E-2</v>
      </c>
    </row>
    <row r="247" spans="1:8">
      <c r="A247" s="2">
        <v>45390</v>
      </c>
      <c r="B247" s="3">
        <v>552.95000000000005</v>
      </c>
      <c r="C247" s="3">
        <v>567.4</v>
      </c>
      <c r="D247" s="3">
        <v>552.04999999999995</v>
      </c>
      <c r="E247" s="3">
        <v>548.35</v>
      </c>
      <c r="F247" s="3">
        <v>565.4</v>
      </c>
      <c r="H247" s="10">
        <f t="shared" si="3"/>
        <v>3.109327983951847E-2</v>
      </c>
    </row>
    <row r="248" spans="1:8">
      <c r="A248" s="2">
        <v>45387</v>
      </c>
      <c r="B248" s="3">
        <v>546.95000000000005</v>
      </c>
      <c r="C248" s="3">
        <v>560</v>
      </c>
      <c r="D248" s="3">
        <v>538.4</v>
      </c>
      <c r="E248" s="3">
        <v>546.95000000000005</v>
      </c>
      <c r="F248" s="3">
        <v>548.35</v>
      </c>
      <c r="H248" s="10">
        <f t="shared" si="3"/>
        <v>2.5596489624279679E-3</v>
      </c>
    </row>
    <row r="249" spans="1:8">
      <c r="A249" s="2">
        <v>45386</v>
      </c>
      <c r="B249" s="3">
        <v>546.04999999999995</v>
      </c>
      <c r="C249" s="3">
        <v>554.5</v>
      </c>
      <c r="D249" s="3">
        <v>544.5</v>
      </c>
      <c r="E249" s="3">
        <v>544.35</v>
      </c>
      <c r="F249" s="3">
        <v>546.95000000000005</v>
      </c>
      <c r="H249" s="10">
        <f t="shared" si="3"/>
        <v>4.7763387526408062E-3</v>
      </c>
    </row>
    <row r="250" spans="1:8">
      <c r="A250" s="2">
        <v>45385</v>
      </c>
      <c r="B250" s="3">
        <v>543.70000000000005</v>
      </c>
      <c r="C250" s="3">
        <v>554</v>
      </c>
      <c r="D250" s="3">
        <v>540</v>
      </c>
      <c r="E250" s="3">
        <v>540.9</v>
      </c>
      <c r="F250" s="3">
        <v>544.35</v>
      </c>
      <c r="H250" s="10">
        <f t="shared" si="3"/>
        <v>6.3782584581254312E-3</v>
      </c>
    </row>
    <row r="251" spans="1:8">
      <c r="A251" s="2">
        <v>45384</v>
      </c>
      <c r="B251" s="3">
        <v>547.95000000000005</v>
      </c>
      <c r="C251" s="3">
        <v>553.20000000000005</v>
      </c>
      <c r="D251" s="3">
        <v>534.1</v>
      </c>
      <c r="E251" s="3">
        <v>547.70000000000005</v>
      </c>
      <c r="F251" s="3">
        <v>540.9</v>
      </c>
      <c r="H251" s="10">
        <f t="shared" si="3"/>
        <v>-1.2415555961292802E-2</v>
      </c>
    </row>
    <row r="252" spans="1:8">
      <c r="A252" s="2">
        <v>45383</v>
      </c>
      <c r="B252" s="3">
        <v>544.95000000000005</v>
      </c>
      <c r="C252" s="3">
        <v>555.79999999999995</v>
      </c>
      <c r="D252" s="3">
        <v>544.25</v>
      </c>
      <c r="E252" s="3">
        <v>544.25</v>
      </c>
      <c r="F252" s="3">
        <v>547.70000000000005</v>
      </c>
      <c r="H252" s="10">
        <f t="shared" si="3"/>
        <v>6.3389986219569046E-3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52CC-B84B-4C7C-8DF3-217C3ABF950E}">
  <dimension ref="A1:N250"/>
  <sheetViews>
    <sheetView topLeftCell="C1" workbookViewId="0">
      <selection activeCell="E64" sqref="E64"/>
    </sheetView>
  </sheetViews>
  <sheetFormatPr defaultRowHeight="14.4"/>
  <cols>
    <col min="1" max="1" width="14.44140625" customWidth="1"/>
    <col min="2" max="2" width="18.5546875" customWidth="1"/>
    <col min="3" max="3" width="14.6640625" bestFit="1" customWidth="1"/>
    <col min="4" max="4" width="15.33203125" customWidth="1"/>
    <col min="5" max="5" width="17.5546875" customWidth="1"/>
    <col min="9" max="9" width="24" bestFit="1" customWidth="1"/>
    <col min="10" max="10" width="16.88671875" customWidth="1"/>
    <col min="11" max="11" width="15.109375" customWidth="1"/>
    <col min="12" max="12" width="15.44140625" customWidth="1"/>
    <col min="13" max="13" width="12.5546875" customWidth="1"/>
    <col min="14" max="14" width="14.109375" customWidth="1"/>
  </cols>
  <sheetData>
    <row r="1" spans="1:14">
      <c r="A1" t="s">
        <v>26</v>
      </c>
      <c r="B1" s="6" t="s">
        <v>27</v>
      </c>
      <c r="C1" t="s">
        <v>28</v>
      </c>
      <c r="D1" t="s">
        <v>29</v>
      </c>
      <c r="E1" s="6" t="s">
        <v>30</v>
      </c>
    </row>
    <row r="2" spans="1:14">
      <c r="A2">
        <v>1.2843475601764926E-2</v>
      </c>
      <c r="B2">
        <v>1.3302490391010812E-2</v>
      </c>
      <c r="C2">
        <v>1.9734570033048672E-4</v>
      </c>
      <c r="D2">
        <v>-1.6861284477551843E-2</v>
      </c>
      <c r="E2">
        <v>4.7514619883042043E-3</v>
      </c>
    </row>
    <row r="3" spans="1:14">
      <c r="A3">
        <v>1.2607272405556048E-2</v>
      </c>
      <c r="B3">
        <v>1.2895725272759749E-2</v>
      </c>
      <c r="C3">
        <v>1.0015945784333334E-2</v>
      </c>
      <c r="D3">
        <v>1.7827868852458992E-2</v>
      </c>
      <c r="E3">
        <v>1.4084507042253494E-2</v>
      </c>
      <c r="I3" t="s">
        <v>31</v>
      </c>
    </row>
    <row r="4" spans="1:14" ht="42.75" customHeight="1">
      <c r="A4">
        <v>3.9828295791480772E-4</v>
      </c>
      <c r="B4">
        <v>-3.5466680924629277E-3</v>
      </c>
      <c r="C4">
        <v>8.6703023296725388E-3</v>
      </c>
      <c r="D4">
        <v>-3.4206361362128174E-3</v>
      </c>
      <c r="E4">
        <v>-1.4489224400340896E-2</v>
      </c>
      <c r="I4" s="10"/>
      <c r="J4" s="13" t="s">
        <v>32</v>
      </c>
      <c r="K4" s="13" t="s">
        <v>33</v>
      </c>
      <c r="L4" s="14" t="s">
        <v>34</v>
      </c>
      <c r="M4" s="13" t="s">
        <v>35</v>
      </c>
      <c r="N4" s="14" t="s">
        <v>36</v>
      </c>
    </row>
    <row r="5" spans="1:14">
      <c r="A5">
        <v>2.1287173461086464E-2</v>
      </c>
      <c r="B5">
        <v>-7.5585611612591736E-3</v>
      </c>
      <c r="C5">
        <v>2.4280685496585984E-2</v>
      </c>
      <c r="D5">
        <v>-1.4341787439613526E-2</v>
      </c>
      <c r="E5">
        <v>-1.2860576923076978E-2</v>
      </c>
      <c r="I5" s="10" t="s">
        <v>32</v>
      </c>
      <c r="J5" s="12">
        <v>1</v>
      </c>
      <c r="K5" s="12">
        <f>CORREL(A2:A250,B2:B250)</f>
        <v>0.1413241791559457</v>
      </c>
      <c r="L5" s="12">
        <f>CORREL(A2:A250,C2:C250)</f>
        <v>2.3378327779890077E-2</v>
      </c>
      <c r="M5" s="12">
        <f>CORREL(A2:A250,D2:D250)</f>
        <v>3.2217751578592163E-2</v>
      </c>
      <c r="N5" s="12">
        <f>CORREL(A2:A250,E2:E250)</f>
        <v>5.7432573395747116E-2</v>
      </c>
    </row>
    <row r="6" spans="1:14">
      <c r="A6">
        <v>-5.0811637213904323E-3</v>
      </c>
      <c r="B6">
        <v>-3.5660572449121761E-3</v>
      </c>
      <c r="C6">
        <v>2.9366964424020238E-3</v>
      </c>
      <c r="D6">
        <v>3.0865798620117239E-2</v>
      </c>
      <c r="E6">
        <v>6.6545674531155478E-3</v>
      </c>
      <c r="I6" s="10" t="s">
        <v>33</v>
      </c>
      <c r="J6" s="12">
        <v>0.1413241791559457</v>
      </c>
      <c r="K6" s="12">
        <v>1</v>
      </c>
      <c r="L6" s="12">
        <f>CORREL(B2:B250,C2:C250)</f>
        <v>0.18900094065962864</v>
      </c>
      <c r="M6" s="12">
        <f>CORREL(B2:B250,D2:D250)</f>
        <v>5.229361780931658E-2</v>
      </c>
      <c r="N6" s="12">
        <f>CORREL(B2:B250,E2:E250)</f>
        <v>0.12561888464141832</v>
      </c>
    </row>
    <row r="7" spans="1:14">
      <c r="A7">
        <v>9.4870630957785244E-3</v>
      </c>
      <c r="B7">
        <v>1.5172479603034365E-2</v>
      </c>
      <c r="C7">
        <v>2.2234538089017326E-2</v>
      </c>
      <c r="D7">
        <v>6.8947505876208121E-3</v>
      </c>
      <c r="E7">
        <v>2.6835631755497608E-2</v>
      </c>
      <c r="I7" s="10" t="s">
        <v>34</v>
      </c>
      <c r="J7" s="12">
        <v>2.3378327779890077E-2</v>
      </c>
      <c r="K7" s="12">
        <v>0.18900094065962864</v>
      </c>
      <c r="L7" s="12">
        <v>1</v>
      </c>
      <c r="M7" s="12">
        <f>CORREL(C2:C250,D2:D250)</f>
        <v>0.21717939929793353</v>
      </c>
      <c r="N7" s="12">
        <f>CORREL(C2:C250,E2:E250)</f>
        <v>0.24059499872286794</v>
      </c>
    </row>
    <row r="8" spans="1:14">
      <c r="A8">
        <v>2.5318812249837147E-2</v>
      </c>
      <c r="B8">
        <v>6.1013731569955119E-2</v>
      </c>
      <c r="C8">
        <v>3.6885218761796138E-3</v>
      </c>
      <c r="D8">
        <v>9.331505693800108E-3</v>
      </c>
      <c r="E8">
        <v>2.3264683447749752E-2</v>
      </c>
      <c r="I8" s="10" t="s">
        <v>35</v>
      </c>
      <c r="J8" s="12">
        <v>3.2217751578592163E-2</v>
      </c>
      <c r="K8" s="12">
        <v>5.2293618E-2</v>
      </c>
      <c r="L8" s="12">
        <v>0.21717939929793353</v>
      </c>
      <c r="M8" s="12">
        <v>1</v>
      </c>
      <c r="N8" s="12">
        <f>CORREL(D2:D250,E2:E250)</f>
        <v>0.35115208670571979</v>
      </c>
    </row>
    <row r="9" spans="1:14">
      <c r="A9">
        <v>-8.6282471277627799E-3</v>
      </c>
      <c r="B9">
        <v>-9.0407338799917004E-4</v>
      </c>
      <c r="C9">
        <v>-2.0552471583399658E-3</v>
      </c>
      <c r="D9">
        <v>1.1734585022402389E-2</v>
      </c>
      <c r="E9">
        <v>2.7295285359801458E-2</v>
      </c>
      <c r="I9" s="10" t="s">
        <v>36</v>
      </c>
      <c r="J9" s="12">
        <v>5.7432573395747116E-2</v>
      </c>
      <c r="K9" s="12">
        <v>0.12561888464141832</v>
      </c>
      <c r="L9" s="12">
        <v>0.24059499872286794</v>
      </c>
      <c r="M9" s="12">
        <v>0.35115208670571979</v>
      </c>
      <c r="N9" s="12">
        <v>1</v>
      </c>
    </row>
    <row r="10" spans="1:14">
      <c r="A10">
        <v>2.9791884443599866E-2</v>
      </c>
      <c r="B10">
        <v>2.544603495669312E-2</v>
      </c>
      <c r="C10">
        <v>2.7284268267017849E-2</v>
      </c>
      <c r="D10">
        <v>8.0072599156568629E-4</v>
      </c>
      <c r="E10">
        <v>1.2964677867442874E-2</v>
      </c>
    </row>
    <row r="11" spans="1:14">
      <c r="A11">
        <v>2.583349580814974E-2</v>
      </c>
      <c r="B11">
        <v>4.8009588889394838E-3</v>
      </c>
      <c r="C11">
        <v>9.983201343892514E-3</v>
      </c>
      <c r="D11">
        <v>-1.4519438160871237E-2</v>
      </c>
      <c r="E11">
        <v>-2.4770997290672229E-2</v>
      </c>
    </row>
    <row r="12" spans="1:14">
      <c r="A12">
        <v>-1.6867931761548913E-2</v>
      </c>
      <c r="B12">
        <v>-4.0613220706255063E-3</v>
      </c>
      <c r="C12">
        <v>-1.4600759428671835E-2</v>
      </c>
      <c r="D12">
        <v>-2.6627067438168877E-2</v>
      </c>
      <c r="E12">
        <v>5.1873946310465567E-3</v>
      </c>
    </row>
    <row r="13" spans="1:14">
      <c r="A13">
        <v>4.089881152865322E-3</v>
      </c>
      <c r="B13">
        <v>-1.2872485542469595E-2</v>
      </c>
      <c r="C13">
        <v>-3.0371719448120463E-2</v>
      </c>
      <c r="D13">
        <v>2.4821578505457697E-2</v>
      </c>
      <c r="E13">
        <v>9.2931937172775168E-3</v>
      </c>
    </row>
    <row r="14" spans="1:14">
      <c r="A14">
        <v>-4.6455938697317137E-3</v>
      </c>
      <c r="B14">
        <v>2.3834190096516994E-2</v>
      </c>
      <c r="C14">
        <v>1.2947024042577217E-2</v>
      </c>
      <c r="D14">
        <v>-4.5967404931049841E-3</v>
      </c>
      <c r="E14">
        <v>-4.6899426784784036E-3</v>
      </c>
    </row>
    <row r="15" spans="1:14">
      <c r="A15">
        <v>-1.2436621065722324E-3</v>
      </c>
      <c r="B15">
        <v>2.1082865234362022E-2</v>
      </c>
      <c r="C15">
        <v>-2.2407473482759715E-2</v>
      </c>
      <c r="D15">
        <v>2.9863257714675146E-3</v>
      </c>
      <c r="E15">
        <v>-1.3367609254498685E-2</v>
      </c>
    </row>
    <row r="16" spans="1:14">
      <c r="A16">
        <v>1.4558866349606911E-2</v>
      </c>
      <c r="B16">
        <v>2.0089330556541423E-4</v>
      </c>
      <c r="C16">
        <v>1.0767001304892412E-2</v>
      </c>
      <c r="D16">
        <v>-4.017950323523296E-3</v>
      </c>
      <c r="E16">
        <v>-1.1686991869918756E-2</v>
      </c>
      <c r="I16" t="s">
        <v>37</v>
      </c>
    </row>
    <row r="17" spans="1:14" ht="28.8">
      <c r="A17">
        <v>3.9289857265345167E-2</v>
      </c>
      <c r="B17">
        <v>1.7330998916812543E-2</v>
      </c>
      <c r="C17">
        <v>-2.4193135573699186E-2</v>
      </c>
      <c r="D17">
        <v>-7.1495181846440549E-3</v>
      </c>
      <c r="E17">
        <v>2.0349967595593061E-2</v>
      </c>
      <c r="I17" s="10"/>
      <c r="J17" s="13" t="s">
        <v>32</v>
      </c>
      <c r="K17" s="13" t="s">
        <v>33</v>
      </c>
      <c r="L17" s="14" t="s">
        <v>34</v>
      </c>
      <c r="M17" s="13" t="s">
        <v>35</v>
      </c>
      <c r="N17" s="14" t="s">
        <v>36</v>
      </c>
    </row>
    <row r="18" spans="1:14">
      <c r="A18">
        <v>1.110830598333777E-3</v>
      </c>
      <c r="B18">
        <v>4.5440547476475373E-3</v>
      </c>
      <c r="C18">
        <v>8.3439631745327522E-2</v>
      </c>
      <c r="D18">
        <v>1.7715912685858978E-2</v>
      </c>
      <c r="E18">
        <v>4.2004321988114567E-2</v>
      </c>
      <c r="I18" s="10" t="s">
        <v>32</v>
      </c>
      <c r="J18" s="12">
        <f>_xlfn.VAR.S(A2:A250)</f>
        <v>3.187074610701372E-4</v>
      </c>
      <c r="K18" s="12">
        <f>_xlfn.COVARIANCE.S(A2:A250,B2:B250)</f>
        <v>7.1032969584722765E-5</v>
      </c>
      <c r="L18" s="12">
        <f>_xlfn.COVARIANCE.S(A2:A250,C2:C250)</f>
        <v>9.4515508069849341E-6</v>
      </c>
      <c r="M18" s="12">
        <f>_xlfn.COVARIANCE.S(A2:A250,D2:D250)</f>
        <v>1.5262839719021602E-5</v>
      </c>
      <c r="N18" s="12">
        <f>_xlfn.COVARIANCE.S(A2:A250,E2:E250)</f>
        <v>2.0376786317484597E-5</v>
      </c>
    </row>
    <row r="19" spans="1:14">
      <c r="A19">
        <v>-8.1133870886963711E-3</v>
      </c>
      <c r="B19">
        <v>6.5330553206380718E-2</v>
      </c>
      <c r="C19">
        <v>-1.9661413202302629E-2</v>
      </c>
      <c r="D19">
        <v>8.8297872340425045E-3</v>
      </c>
      <c r="E19">
        <v>-4.8387096774193854E-3</v>
      </c>
      <c r="I19" s="10" t="s">
        <v>33</v>
      </c>
      <c r="J19" s="12">
        <v>7.1032969584722765E-5</v>
      </c>
      <c r="K19" s="12">
        <f>_xlfn.VAR.S(B2:B250)</f>
        <v>7.9267428249412059E-4</v>
      </c>
      <c r="L19" s="12">
        <f>_xlfn.COVARIANCE.S(B2:B250,C2:C250)</f>
        <v>1.2050494372739537E-4</v>
      </c>
      <c r="M19" s="12">
        <f>_xlfn.COVARIANCE.S(B2:B250,D2:D250)</f>
        <v>3.9069699630410255E-5</v>
      </c>
      <c r="N19" s="12">
        <f>_xlfn.COVARIANCE.S(B2:B250,E2:E250)</f>
        <v>7.0288393420350078E-5</v>
      </c>
    </row>
    <row r="20" spans="1:14">
      <c r="A20">
        <v>-6.7651594289409086E-3</v>
      </c>
      <c r="B20">
        <v>2.3818232031827338E-2</v>
      </c>
      <c r="C20">
        <v>-6.9273242191471979E-4</v>
      </c>
      <c r="D20">
        <v>-7.4441687344912674E-3</v>
      </c>
      <c r="E20">
        <v>4.4552450384770549E-3</v>
      </c>
      <c r="I20" s="10" t="s">
        <v>34</v>
      </c>
      <c r="J20" s="12">
        <v>9.4515508069849341E-6</v>
      </c>
      <c r="K20" s="12">
        <v>1.2050494372739537E-4</v>
      </c>
      <c r="L20" s="12">
        <f>_xlfn.VAR.S(C2:C250)</f>
        <v>5.1284606665990141E-4</v>
      </c>
      <c r="M20" s="12">
        <f>_xlfn.COVARIANCE.S(C2:C250,D2:D250)</f>
        <v>1.3051371200634244E-4</v>
      </c>
      <c r="N20" s="12">
        <f>_xlfn.COVARIANCE.S(C2:C250,E2:E250)</f>
        <v>1.0828328175584936E-4</v>
      </c>
    </row>
    <row r="21" spans="1:14">
      <c r="A21">
        <v>-4.3988967091497154E-2</v>
      </c>
      <c r="B21">
        <v>-2.7835627571493906E-2</v>
      </c>
      <c r="C21">
        <v>-1.6938175991454182E-2</v>
      </c>
      <c r="D21">
        <v>-3.2734143601266537E-2</v>
      </c>
      <c r="E21">
        <v>-2.5009872318020269E-2</v>
      </c>
      <c r="I21" s="10" t="s">
        <v>35</v>
      </c>
      <c r="J21" s="12">
        <v>1.5262839719021602E-5</v>
      </c>
      <c r="K21" s="12">
        <v>3.9069699630410255E-5</v>
      </c>
      <c r="L21" s="12">
        <v>1.3051371200634244E-4</v>
      </c>
      <c r="M21" s="12">
        <f>_xlfn.VAR.S(D2:D250)</f>
        <v>7.0418699392260327E-4</v>
      </c>
      <c r="N21" s="12">
        <f>_xlfn.COVARIANCE.S(D2:D250,E2:E250)</f>
        <v>1.8519128832657908E-4</v>
      </c>
    </row>
    <row r="22" spans="1:14">
      <c r="A22">
        <v>-5.3921104909656781E-3</v>
      </c>
      <c r="B22">
        <v>-4.1694969144278121E-3</v>
      </c>
      <c r="C22">
        <v>-1.8961847060749958E-2</v>
      </c>
      <c r="D22">
        <v>2.9707027248514414E-3</v>
      </c>
      <c r="E22">
        <v>-3.6891480730223011E-2</v>
      </c>
      <c r="I22" s="10" t="s">
        <v>36</v>
      </c>
      <c r="J22" s="12">
        <v>2.0376786317484597E-5</v>
      </c>
      <c r="K22" s="12">
        <v>7.0288393420350078E-5</v>
      </c>
      <c r="L22" s="12">
        <v>1.0828328175584936E-4</v>
      </c>
      <c r="M22" s="12">
        <v>1.8519128832657908E-4</v>
      </c>
      <c r="N22" s="12">
        <f>_xlfn.VAR.S(E2:E250)</f>
        <v>3.9496862612566937E-4</v>
      </c>
    </row>
    <row r="23" spans="1:14">
      <c r="A23">
        <v>1.1966302891058779E-2</v>
      </c>
      <c r="B23">
        <v>3.6043484251826272E-3</v>
      </c>
      <c r="C23">
        <v>7.0132662157206807E-4</v>
      </c>
      <c r="D23">
        <v>-2.1108047129606372E-2</v>
      </c>
      <c r="E23">
        <v>-3.0124185417435143E-2</v>
      </c>
    </row>
    <row r="24" spans="1:14">
      <c r="A24">
        <v>-7.2229614141799429E-3</v>
      </c>
      <c r="B24">
        <v>3.5151303436530626E-3</v>
      </c>
      <c r="C24">
        <v>1.7635602038366081E-2</v>
      </c>
      <c r="D24">
        <v>-8.7470801650016954E-3</v>
      </c>
      <c r="E24">
        <v>3.3308660251664592E-3</v>
      </c>
    </row>
    <row r="25" spans="1:14">
      <c r="A25">
        <v>-2.0844965568583534E-2</v>
      </c>
      <c r="B25">
        <v>-1.5123713409214713E-2</v>
      </c>
      <c r="C25">
        <v>-3.8128660973778997E-2</v>
      </c>
      <c r="D25">
        <v>-1.0766961651917449E-2</v>
      </c>
      <c r="E25">
        <v>1.1858694295343902E-2</v>
      </c>
    </row>
    <row r="26" spans="1:14">
      <c r="A26">
        <v>4.8901903367496252E-2</v>
      </c>
      <c r="B26">
        <v>1.8167065193196393E-3</v>
      </c>
      <c r="C26">
        <v>2.4052529695871489E-3</v>
      </c>
      <c r="D26">
        <v>-6.6904331689212511E-3</v>
      </c>
      <c r="E26">
        <v>1.3665696570922521E-2</v>
      </c>
    </row>
    <row r="27" spans="1:14">
      <c r="A27">
        <v>8.8129584953966274E-3</v>
      </c>
      <c r="B27">
        <v>-2.0280051022602648E-3</v>
      </c>
      <c r="C27">
        <v>1.0712080340602507E-2</v>
      </c>
      <c r="D27">
        <v>5.1342609231401139E-2</v>
      </c>
      <c r="E27">
        <v>6.1107574793124817E-3</v>
      </c>
    </row>
    <row r="28" spans="1:14">
      <c r="A28">
        <v>-2.2804907385133553E-2</v>
      </c>
      <c r="B28">
        <v>-4.3451892547536394E-3</v>
      </c>
      <c r="C28">
        <v>1.0801736086257956E-3</v>
      </c>
      <c r="D28">
        <v>-1.3623012255646645E-2</v>
      </c>
      <c r="E28">
        <v>3.3209860774045508E-3</v>
      </c>
    </row>
    <row r="29" spans="1:14">
      <c r="A29">
        <v>-1.8556993106053535E-2</v>
      </c>
      <c r="B29">
        <v>-1.3500102060208434E-2</v>
      </c>
      <c r="C29">
        <v>-1.4037608987149369E-2</v>
      </c>
      <c r="D29">
        <v>-2.9012588512981906E-2</v>
      </c>
      <c r="E29">
        <v>-5.2096569250317951E-3</v>
      </c>
    </row>
    <row r="30" spans="1:14">
      <c r="A30">
        <v>5.7940729483283975E-3</v>
      </c>
      <c r="B30">
        <v>-3.940473695242095E-2</v>
      </c>
      <c r="C30">
        <v>-1.0424801122475472E-2</v>
      </c>
      <c r="D30">
        <v>-9.1600077957514035E-3</v>
      </c>
      <c r="E30">
        <v>-2.3209631376442899E-2</v>
      </c>
    </row>
    <row r="31" spans="1:14">
      <c r="A31">
        <v>-1.8597063621533485E-2</v>
      </c>
      <c r="B31">
        <v>-1.3776364133442714E-2</v>
      </c>
      <c r="C31">
        <v>-1.610988956074157E-2</v>
      </c>
      <c r="D31">
        <v>9.7456388266383817E-5</v>
      </c>
      <c r="E31">
        <v>-5.922270203577982E-3</v>
      </c>
    </row>
    <row r="32" spans="1:14">
      <c r="A32">
        <v>1.4002333722287048E-3</v>
      </c>
      <c r="B32">
        <v>6.7872391847257152E-3</v>
      </c>
      <c r="C32">
        <v>-1.1405810973538811E-2</v>
      </c>
      <c r="D32">
        <v>-3.0563559922528353E-2</v>
      </c>
      <c r="E32">
        <v>-3.7982195845697328E-2</v>
      </c>
    </row>
    <row r="33" spans="1:5">
      <c r="A33">
        <v>-1.8327605956471937E-2</v>
      </c>
      <c r="B33">
        <v>-1.3144295746654275E-2</v>
      </c>
      <c r="C33">
        <v>-3.7756478438876064E-2</v>
      </c>
      <c r="D33">
        <v>-4.2473312827935629E-2</v>
      </c>
      <c r="E33">
        <v>-5.0490251324242036E-2</v>
      </c>
    </row>
    <row r="34" spans="1:5">
      <c r="A34">
        <v>-1.4004969505308336E-2</v>
      </c>
      <c r="B34">
        <v>-8.5196108698937009E-3</v>
      </c>
      <c r="C34">
        <v>-1.4222368012558754E-2</v>
      </c>
      <c r="D34">
        <v>-3.6016394872242043E-2</v>
      </c>
      <c r="E34">
        <v>-3.7217881944444517E-2</v>
      </c>
    </row>
    <row r="35" spans="1:5">
      <c r="A35">
        <v>-1.1477313326187844E-2</v>
      </c>
      <c r="B35">
        <v>1.6910119752599506E-3</v>
      </c>
      <c r="C35">
        <v>1.7016083132367524E-3</v>
      </c>
      <c r="D35">
        <v>-7.6157507572479051E-3</v>
      </c>
      <c r="E35">
        <v>-2.0199872421858389E-2</v>
      </c>
    </row>
    <row r="36" spans="1:5">
      <c r="A36">
        <v>7.5977653631276783E-4</v>
      </c>
      <c r="B36">
        <v>8.9422636474079872E-3</v>
      </c>
      <c r="C36">
        <v>2.2582523244121461E-3</v>
      </c>
      <c r="D36">
        <v>-2.7186812238381656E-3</v>
      </c>
      <c r="E36">
        <v>-1.652028439983266E-2</v>
      </c>
    </row>
    <row r="37" spans="1:5">
      <c r="A37">
        <v>-1.4534243558687513E-2</v>
      </c>
      <c r="B37">
        <v>6.2324649298596711E-3</v>
      </c>
      <c r="C37">
        <v>5.0951347964606391E-3</v>
      </c>
      <c r="D37">
        <v>4.7491581037922625E-4</v>
      </c>
      <c r="E37">
        <v>2.2778312479948621E-2</v>
      </c>
    </row>
    <row r="38" spans="1:5">
      <c r="A38">
        <v>-1.7567392150923764E-2</v>
      </c>
      <c r="B38">
        <v>3.0755623454680439E-3</v>
      </c>
      <c r="C38">
        <v>1.3776201148116502E-2</v>
      </c>
      <c r="D38">
        <v>-4.4272512357619526E-3</v>
      </c>
      <c r="E38">
        <v>1.3328998699609958E-2</v>
      </c>
    </row>
    <row r="39" spans="1:5">
      <c r="A39">
        <v>-3.0334815809348065E-2</v>
      </c>
      <c r="B39">
        <v>6.9835229342941584E-3</v>
      </c>
      <c r="C39">
        <v>3.315235223832548E-2</v>
      </c>
      <c r="D39">
        <v>-4.7258979206045242E-4</v>
      </c>
      <c r="E39">
        <v>4.1349292709466313E-3</v>
      </c>
    </row>
    <row r="40" spans="1:5">
      <c r="A40">
        <v>6.2831661092530702E-2</v>
      </c>
      <c r="B40">
        <v>2.4215283824687954E-2</v>
      </c>
      <c r="C40">
        <v>-2.2689182402875173E-2</v>
      </c>
      <c r="D40">
        <v>-6.1910251483711203E-3</v>
      </c>
      <c r="E40">
        <v>-5.4526748971193417E-2</v>
      </c>
    </row>
    <row r="41" spans="1:5">
      <c r="A41">
        <v>2.4586499776486368E-3</v>
      </c>
      <c r="B41">
        <v>-3.8139560500082361E-3</v>
      </c>
      <c r="C41">
        <v>-7.6254750911154204E-3</v>
      </c>
      <c r="D41">
        <v>5.1306221384325217E-2</v>
      </c>
      <c r="E41">
        <v>1.5037593984962383E-2</v>
      </c>
    </row>
    <row r="42" spans="1:5">
      <c r="A42">
        <v>3.1301703707007917E-4</v>
      </c>
      <c r="B42">
        <v>8.0292021457470716E-3</v>
      </c>
      <c r="C42">
        <v>-4.7927468544740379E-2</v>
      </c>
      <c r="D42">
        <v>1.9075065184575395E-2</v>
      </c>
      <c r="E42">
        <v>1.9374068554396471E-2</v>
      </c>
    </row>
    <row r="43" spans="1:5">
      <c r="A43">
        <v>-6.8392769907179634E-3</v>
      </c>
      <c r="B43">
        <v>2.1978723404255295E-2</v>
      </c>
      <c r="C43">
        <v>2.9151174283428252E-2</v>
      </c>
      <c r="D43">
        <v>7.8064897918926901E-2</v>
      </c>
      <c r="E43">
        <v>6.6438062580367893E-3</v>
      </c>
    </row>
    <row r="44" spans="1:5">
      <c r="A44">
        <v>-7.1006967558707838E-4</v>
      </c>
      <c r="B44">
        <v>4.3450388204288055E-3</v>
      </c>
      <c r="C44">
        <v>-3.4413806423759206E-2</v>
      </c>
      <c r="D44">
        <v>-3.9296591020728956E-3</v>
      </c>
      <c r="E44">
        <v>-3.5850811034197676E-2</v>
      </c>
    </row>
    <row r="45" spans="1:5">
      <c r="A45">
        <v>-3.2733224222584317E-3</v>
      </c>
      <c r="B45">
        <v>1.311953352769674E-2</v>
      </c>
      <c r="C45">
        <v>-4.6878045611071367E-2</v>
      </c>
      <c r="D45">
        <v>-1.2514551804423728E-2</v>
      </c>
      <c r="E45">
        <v>-2.1829206670035396E-2</v>
      </c>
    </row>
    <row r="46" spans="1:5">
      <c r="A46">
        <v>-1.2967167307020726E-2</v>
      </c>
      <c r="B46">
        <v>-2.0789462526675729E-2</v>
      </c>
      <c r="C46">
        <v>4.148339848528468E-3</v>
      </c>
      <c r="D46">
        <v>-2.4925507260086209E-2</v>
      </c>
      <c r="E46">
        <v>-1.6890213611525089E-2</v>
      </c>
    </row>
    <row r="47" spans="1:5">
      <c r="A47">
        <v>-6.7649609713789716E-3</v>
      </c>
      <c r="B47">
        <v>1.7156986063093353E-2</v>
      </c>
      <c r="C47">
        <v>0.11767458253323934</v>
      </c>
      <c r="D47">
        <v>-1.1778452909558222E-2</v>
      </c>
      <c r="E47">
        <v>1.656398343601654E-2</v>
      </c>
    </row>
    <row r="48" spans="1:5">
      <c r="A48">
        <v>-5.1339574614953582E-3</v>
      </c>
      <c r="B48">
        <v>3.0234590207636112E-2</v>
      </c>
      <c r="C48">
        <v>-3.9825204875863548E-3</v>
      </c>
      <c r="D48">
        <v>-3.842696629213483E-2</v>
      </c>
      <c r="E48">
        <v>-8.4126189283925661E-3</v>
      </c>
    </row>
    <row r="49" spans="1:5">
      <c r="A49">
        <v>-6.6000942870612818E-3</v>
      </c>
      <c r="B49">
        <v>-2.7718979941538151E-2</v>
      </c>
      <c r="C49">
        <v>-4.6293623948003369E-2</v>
      </c>
      <c r="D49">
        <v>-2.1547933157431837E-2</v>
      </c>
      <c r="E49">
        <v>-1.3002600520103567E-3</v>
      </c>
    </row>
    <row r="50" spans="1:5">
      <c r="A50">
        <v>-1.7764681119764182E-2</v>
      </c>
      <c r="B50">
        <v>3.5258587055473946E-3</v>
      </c>
      <c r="C50">
        <v>2.3780456052445559E-3</v>
      </c>
      <c r="D50">
        <v>3.4418850939900198E-3</v>
      </c>
      <c r="E50">
        <v>-2.0000000000004546E-4</v>
      </c>
    </row>
    <row r="51" spans="1:5">
      <c r="A51">
        <v>3.318545581071685E-2</v>
      </c>
      <c r="B51">
        <v>1.9865890501805348E-2</v>
      </c>
      <c r="C51">
        <v>-1.028477841341844E-2</v>
      </c>
      <c r="D51">
        <v>-4.1307786957286395E-3</v>
      </c>
      <c r="E51">
        <v>2.2076860179885551E-2</v>
      </c>
    </row>
    <row r="52" spans="1:5">
      <c r="A52">
        <v>1.8471760797342113E-2</v>
      </c>
      <c r="B52">
        <v>7.3635297436126373E-3</v>
      </c>
      <c r="C52">
        <v>1.7242684965660261E-2</v>
      </c>
      <c r="D52">
        <v>3.0849377123442767E-2</v>
      </c>
      <c r="E52">
        <v>-3.4630270930942936E-3</v>
      </c>
    </row>
    <row r="53" spans="1:5">
      <c r="A53">
        <v>-1.0259108246744746E-2</v>
      </c>
      <c r="B53">
        <v>-4.2257326072429047E-2</v>
      </c>
      <c r="C53">
        <v>-1.0532563660908794E-3</v>
      </c>
      <c r="D53">
        <v>2.0809248554913295E-2</v>
      </c>
      <c r="E53">
        <v>7.9047325736576659E-3</v>
      </c>
    </row>
    <row r="54" spans="1:5">
      <c r="A54">
        <v>-1.6005176876617736E-2</v>
      </c>
      <c r="B54">
        <v>-4.3601976245415813E-3</v>
      </c>
      <c r="C54">
        <v>-1.2997455646110774E-2</v>
      </c>
      <c r="D54">
        <v>1.7168391345249296E-2</v>
      </c>
      <c r="E54">
        <v>3.3966670204861479E-2</v>
      </c>
    </row>
    <row r="55" spans="1:5">
      <c r="A55">
        <v>-1.3029038576173001E-2</v>
      </c>
      <c r="B55">
        <v>2.2664263429535099E-2</v>
      </c>
      <c r="C55">
        <v>-7.4286352301909303E-2</v>
      </c>
      <c r="D55">
        <v>-7.4243413890703241E-2</v>
      </c>
      <c r="E55">
        <v>-3.0861022528546445E-2</v>
      </c>
    </row>
    <row r="56" spans="1:5">
      <c r="A56">
        <v>-5.7573448480229914E-3</v>
      </c>
      <c r="B56">
        <v>-2.5624206517139179E-2</v>
      </c>
      <c r="C56">
        <v>1.3050737908003839E-2</v>
      </c>
      <c r="D56">
        <v>-3.0644548562745309E-2</v>
      </c>
      <c r="E56">
        <v>-2.5561347233360062E-2</v>
      </c>
    </row>
    <row r="57" spans="1:5">
      <c r="A57">
        <v>2.1491891891891813E-2</v>
      </c>
      <c r="B57">
        <v>3.0063498060185063E-2</v>
      </c>
      <c r="C57">
        <v>-2.8771709562670014E-2</v>
      </c>
      <c r="D57">
        <v>-3.036876355748384E-2</v>
      </c>
      <c r="E57">
        <v>-4.0930418288909077E-3</v>
      </c>
    </row>
    <row r="58" spans="1:5">
      <c r="A58">
        <v>2.1234182700641752E-3</v>
      </c>
      <c r="B58">
        <v>-2.9090190877925571E-2</v>
      </c>
      <c r="C58">
        <v>-6.4655620465271747E-3</v>
      </c>
      <c r="D58">
        <v>-2.178003763462371E-2</v>
      </c>
      <c r="E58">
        <v>-1.388068517424681E-2</v>
      </c>
    </row>
    <row r="59" spans="1:5">
      <c r="A59">
        <v>1.046547269781499E-2</v>
      </c>
      <c r="B59">
        <v>-2.5716799076339371E-2</v>
      </c>
      <c r="C59">
        <v>-1.1991590313286031E-3</v>
      </c>
      <c r="D59">
        <v>-4.1068580542265474E-3</v>
      </c>
      <c r="E59">
        <v>-2.161100196463699E-3</v>
      </c>
    </row>
    <row r="60" spans="1:5">
      <c r="A60">
        <v>2.256750100747756E-2</v>
      </c>
      <c r="B60">
        <v>2.161778851217095E-2</v>
      </c>
      <c r="C60">
        <v>-3.9194800225447286E-3</v>
      </c>
      <c r="D60">
        <v>-3.1735001158211651E-2</v>
      </c>
      <c r="E60">
        <v>-1.0016532140425902E-2</v>
      </c>
    </row>
    <row r="61" spans="1:5">
      <c r="A61">
        <v>2.1217248159495217E-2</v>
      </c>
      <c r="B61">
        <v>-1.8291400939099E-3</v>
      </c>
      <c r="C61">
        <v>-2.7844668003898254E-3</v>
      </c>
      <c r="D61">
        <v>1.40547312375209E-2</v>
      </c>
      <c r="E61">
        <v>1.1608460403344767E-2</v>
      </c>
    </row>
    <row r="62" spans="1:5">
      <c r="A62">
        <v>1.2875735260062148E-2</v>
      </c>
      <c r="B62">
        <v>-8.5257474794500111E-3</v>
      </c>
      <c r="C62">
        <v>7.0727160372019019E-3</v>
      </c>
      <c r="D62">
        <v>2.9835100592670239E-2</v>
      </c>
      <c r="E62">
        <v>8.532592519099139E-3</v>
      </c>
    </row>
    <row r="63" spans="1:5">
      <c r="A63">
        <v>-2.3104292777598079E-3</v>
      </c>
      <c r="B63">
        <v>-1.4962047322779037E-2</v>
      </c>
      <c r="C63">
        <v>-3.5599894442174961E-3</v>
      </c>
      <c r="D63">
        <v>-2.2928399034592992E-3</v>
      </c>
      <c r="E63">
        <v>1.0527371165029076E-2</v>
      </c>
    </row>
    <row r="64" spans="1:5">
      <c r="A64">
        <v>2.0272500117863374E-2</v>
      </c>
      <c r="B64">
        <v>-4.3681513383852398E-3</v>
      </c>
      <c r="C64">
        <v>-1.5787409795323872E-2</v>
      </c>
      <c r="D64">
        <v>1.3287682399934747E-2</v>
      </c>
      <c r="E64">
        <v>1.2045773940975023E-3</v>
      </c>
    </row>
    <row r="65" spans="1:5">
      <c r="A65">
        <v>-6.7896609852032223E-3</v>
      </c>
      <c r="B65">
        <v>0.15390180228352143</v>
      </c>
      <c r="C65">
        <v>3.8815587603559409E-2</v>
      </c>
      <c r="D65">
        <v>-1.6042351808775165E-2</v>
      </c>
      <c r="E65">
        <v>-9.347653142402523E-3</v>
      </c>
    </row>
    <row r="66" spans="1:5">
      <c r="A66">
        <v>-3.1740104555639382E-3</v>
      </c>
      <c r="B66">
        <v>-3.4869962465815681E-3</v>
      </c>
      <c r="C66">
        <v>-4.4399968398598621E-3</v>
      </c>
      <c r="D66">
        <v>4.0121970791205262E-4</v>
      </c>
      <c r="E66">
        <v>-1.2180746561886028E-2</v>
      </c>
    </row>
    <row r="67" spans="1:5">
      <c r="A67">
        <v>-6.1235850807199012E-3</v>
      </c>
      <c r="B67">
        <v>-6.5932868352222345E-3</v>
      </c>
      <c r="C67">
        <v>1.0597528130555508E-2</v>
      </c>
      <c r="D67">
        <v>-1.4705882352941105E-2</v>
      </c>
      <c r="E67">
        <v>6.2271424335276805E-3</v>
      </c>
    </row>
    <row r="68" spans="1:5">
      <c r="A68">
        <v>3.7718277066355805E-3</v>
      </c>
      <c r="B68">
        <v>-5.3039512501064662E-3</v>
      </c>
      <c r="C68">
        <v>-1.3448362010768933E-3</v>
      </c>
      <c r="D68">
        <v>5.0858232676413411E-3</v>
      </c>
      <c r="E68">
        <v>1.4337276919992047E-2</v>
      </c>
    </row>
    <row r="69" spans="1:5">
      <c r="A69">
        <v>3.8799551234107062E-3</v>
      </c>
      <c r="B69">
        <v>-4.7393730156283717E-3</v>
      </c>
      <c r="C69">
        <v>3.8311927388758951E-3</v>
      </c>
      <c r="D69">
        <v>1.7546696854532258E-2</v>
      </c>
      <c r="E69">
        <v>-2.2008803521409016E-3</v>
      </c>
    </row>
    <row r="70" spans="1:5">
      <c r="A70">
        <v>-8.206221892531073E-3</v>
      </c>
      <c r="B70">
        <v>-1.9305464754067118E-3</v>
      </c>
      <c r="C70">
        <v>-2.9682824036201306E-2</v>
      </c>
      <c r="D70">
        <v>-5.0846156798035225E-2</v>
      </c>
      <c r="E70">
        <v>-1.1960067213600892E-2</v>
      </c>
    </row>
    <row r="71" spans="1:5">
      <c r="A71">
        <v>-1.2182276162124988E-2</v>
      </c>
      <c r="B71">
        <v>2.8694183257098904E-3</v>
      </c>
      <c r="C71">
        <v>1.9611776568282242E-2</v>
      </c>
      <c r="D71">
        <v>2.1641118124436538E-2</v>
      </c>
      <c r="E71">
        <v>5.4661101172729081E-3</v>
      </c>
    </row>
    <row r="72" spans="1:5">
      <c r="A72">
        <v>2.2491508308088181E-3</v>
      </c>
      <c r="B72">
        <v>-7.1908838890506694E-3</v>
      </c>
      <c r="C72">
        <v>7.2743128486272533E-3</v>
      </c>
      <c r="D72">
        <v>-1.8092928359702814E-2</v>
      </c>
      <c r="E72">
        <v>-8.7676091025514508E-3</v>
      </c>
    </row>
    <row r="73" spans="1:5">
      <c r="A73">
        <v>-2.0721895086977981E-2</v>
      </c>
      <c r="B73">
        <v>-1.1117001135933304E-2</v>
      </c>
      <c r="C73">
        <v>1.2736006548407595E-2</v>
      </c>
      <c r="D73">
        <v>8.110835144364963E-3</v>
      </c>
      <c r="E73">
        <v>-2.3284903300298213E-2</v>
      </c>
    </row>
    <row r="74" spans="1:5">
      <c r="A74">
        <v>8.0975302532715245E-4</v>
      </c>
      <c r="B74">
        <v>-3.3134826287465101E-3</v>
      </c>
      <c r="C74">
        <v>-1.7256672848963012E-3</v>
      </c>
      <c r="D74">
        <v>3.2247726635420422E-2</v>
      </c>
      <c r="E74">
        <v>2.2329333071020984E-2</v>
      </c>
    </row>
    <row r="75" spans="1:5">
      <c r="A75">
        <v>3.1500315003162314E-4</v>
      </c>
      <c r="B75">
        <v>-3.9020209310717882E-3</v>
      </c>
      <c r="C75">
        <v>1.139632120661805E-2</v>
      </c>
      <c r="D75">
        <v>-1.75950733794523E-3</v>
      </c>
      <c r="E75">
        <v>-1.3752455795677577E-3</v>
      </c>
    </row>
    <row r="76" spans="1:5">
      <c r="A76">
        <v>-2.1315951730820088E-2</v>
      </c>
      <c r="B76">
        <v>4.8957388939256021E-3</v>
      </c>
      <c r="C76">
        <v>2.2203819390409281E-2</v>
      </c>
      <c r="D76">
        <v>1.1650956753913883E-2</v>
      </c>
      <c r="E76">
        <v>-1.8132716049382672E-2</v>
      </c>
    </row>
    <row r="77" spans="1:5">
      <c r="A77">
        <v>1.2788287692375936E-3</v>
      </c>
      <c r="B77">
        <v>-1.6669055143648309E-3</v>
      </c>
      <c r="C77">
        <v>-1.3709198483661128E-3</v>
      </c>
      <c r="D77">
        <v>-3.4451779227373858E-2</v>
      </c>
      <c r="E77">
        <v>1.2598886610020487E-2</v>
      </c>
    </row>
    <row r="78" spans="1:5">
      <c r="A78">
        <v>5.3198563638781754E-3</v>
      </c>
      <c r="B78">
        <v>-1.5438374527435121E-3</v>
      </c>
      <c r="C78">
        <v>1.0085663669185624E-2</v>
      </c>
      <c r="D78">
        <v>7.4270971777034287E-4</v>
      </c>
      <c r="E78">
        <v>7.4781068582111809E-3</v>
      </c>
    </row>
    <row r="79" spans="1:5">
      <c r="A79">
        <v>-8.7093771500263165E-2</v>
      </c>
      <c r="B79">
        <v>-1.0081251880830302E-3</v>
      </c>
      <c r="C79">
        <v>1.9266523993281583E-3</v>
      </c>
      <c r="D79">
        <v>-2.2953825000954955E-2</v>
      </c>
      <c r="E79">
        <v>-8.874585527599118E-3</v>
      </c>
    </row>
    <row r="80" spans="1:5">
      <c r="A80">
        <v>-7.4713797951395499E-3</v>
      </c>
      <c r="B80">
        <v>3.3061095092162913E-3</v>
      </c>
      <c r="C80">
        <v>9.4864932296039213E-3</v>
      </c>
      <c r="D80">
        <v>4.6813245846284764E-3</v>
      </c>
      <c r="E80">
        <v>2.100965846858522E-2</v>
      </c>
    </row>
    <row r="81" spans="1:5">
      <c r="A81">
        <v>1.3227513227513227E-2</v>
      </c>
      <c r="B81">
        <v>-6.2259961593855015E-3</v>
      </c>
      <c r="C81">
        <v>5.9206698684675435E-3</v>
      </c>
      <c r="D81">
        <v>4.5871559633027872E-3</v>
      </c>
      <c r="E81">
        <v>1.1277816936864296E-2</v>
      </c>
    </row>
    <row r="82" spans="1:5">
      <c r="A82">
        <v>-1.5847860538827628E-3</v>
      </c>
      <c r="B82">
        <v>1.3363333688067341E-2</v>
      </c>
      <c r="C82">
        <v>5.4655464112636862E-3</v>
      </c>
      <c r="D82">
        <v>9.5341868700626539E-3</v>
      </c>
      <c r="E82">
        <v>-2.5110486139011652E-3</v>
      </c>
    </row>
    <row r="83" spans="1:5">
      <c r="A83">
        <v>2.6891578046693188E-3</v>
      </c>
      <c r="B83">
        <v>-2.0030839596850463E-2</v>
      </c>
      <c r="C83">
        <v>8.6675008897095203E-4</v>
      </c>
      <c r="D83">
        <v>2.9527243589743516E-2</v>
      </c>
      <c r="E83">
        <v>3.600416233090533E-2</v>
      </c>
    </row>
    <row r="84" spans="1:5">
      <c r="A84">
        <v>-1.4060177559956612E-2</v>
      </c>
      <c r="B84">
        <v>2.2538923250357976E-2</v>
      </c>
      <c r="C84">
        <v>2.8609750341072391E-3</v>
      </c>
      <c r="D84">
        <v>5.7216536384881202E-3</v>
      </c>
      <c r="E84">
        <v>1.563314226159458E-3</v>
      </c>
    </row>
    <row r="85" spans="1:5">
      <c r="A85">
        <v>-5.2747252747252019E-3</v>
      </c>
      <c r="B85">
        <v>9.6206347619450724E-3</v>
      </c>
      <c r="C85">
        <v>2.863394161216145E-3</v>
      </c>
      <c r="D85">
        <v>1.0011395083835408E-2</v>
      </c>
      <c r="E85">
        <v>1.641949152542373E-2</v>
      </c>
    </row>
    <row r="86" spans="1:5">
      <c r="A86">
        <v>-8.2038681039948557E-3</v>
      </c>
      <c r="B86">
        <v>1.7101786443366824E-3</v>
      </c>
      <c r="C86">
        <v>-1.3663249893346361E-3</v>
      </c>
      <c r="D86">
        <v>7.3381707867009533E-3</v>
      </c>
      <c r="E86">
        <v>-3.1769564756958015E-4</v>
      </c>
    </row>
    <row r="87" spans="1:5">
      <c r="A87">
        <v>1.7337311507136521E-2</v>
      </c>
      <c r="B87">
        <v>4.9157738279556572E-3</v>
      </c>
      <c r="C87">
        <v>6.5397403833321191E-3</v>
      </c>
      <c r="D87">
        <v>1.0522391151249054E-2</v>
      </c>
      <c r="E87">
        <v>-6.7318817713264865E-3</v>
      </c>
    </row>
    <row r="88" spans="1:5">
      <c r="A88">
        <v>1.7559694756707853E-2</v>
      </c>
      <c r="B88">
        <v>2.5553069078471861E-4</v>
      </c>
      <c r="C88">
        <v>5.7480607552590787E-4</v>
      </c>
      <c r="D88">
        <v>-1.7061649971496087E-2</v>
      </c>
      <c r="E88">
        <v>1.9626769626769701E-2</v>
      </c>
    </row>
    <row r="89" spans="1:5">
      <c r="A89">
        <v>2.2142078335989343E-2</v>
      </c>
      <c r="B89">
        <v>2.1725199174030912E-2</v>
      </c>
      <c r="C89">
        <v>3.4115881116781793E-2</v>
      </c>
      <c r="D89">
        <v>2.8047555257870057E-2</v>
      </c>
      <c r="E89">
        <v>9.4186424163688765E-3</v>
      </c>
    </row>
    <row r="90" spans="1:5">
      <c r="A90">
        <v>1.1538135233732E-2</v>
      </c>
      <c r="B90">
        <v>2.2837386705152757E-3</v>
      </c>
      <c r="C90">
        <v>1.4299460420701286E-2</v>
      </c>
      <c r="D90">
        <v>1.2632471386180661E-2</v>
      </c>
      <c r="E90">
        <v>1.8187830687830687E-2</v>
      </c>
    </row>
    <row r="91" spans="1:5">
      <c r="A91">
        <v>-5.5682105796000247E-3</v>
      </c>
      <c r="B91">
        <v>-2.943055266945269E-2</v>
      </c>
      <c r="C91">
        <v>1.1532064313435638E-2</v>
      </c>
      <c r="D91">
        <v>2.6321514030889712E-2</v>
      </c>
      <c r="E91">
        <v>5.2077562326870311E-3</v>
      </c>
    </row>
    <row r="92" spans="1:5">
      <c r="A92">
        <v>3.0889011128505594E-3</v>
      </c>
      <c r="B92">
        <v>1.2625377007785651E-2</v>
      </c>
      <c r="C92">
        <v>1.3726175904878429E-2</v>
      </c>
      <c r="D92">
        <v>1.2555066079295154E-2</v>
      </c>
      <c r="E92">
        <v>-2.7624309392265192E-3</v>
      </c>
    </row>
    <row r="93" spans="1:5">
      <c r="A93">
        <v>5.5739937026637581E-3</v>
      </c>
      <c r="B93">
        <v>-5.2753969835891333E-2</v>
      </c>
      <c r="C93">
        <v>-8.3477830071835065E-3</v>
      </c>
      <c r="D93">
        <v>3.6009310392040569E-2</v>
      </c>
      <c r="E93">
        <v>-6.893004115226338E-2</v>
      </c>
    </row>
    <row r="94" spans="1:5">
      <c r="A94">
        <v>-7.4330602246812918E-3</v>
      </c>
      <c r="B94">
        <v>-4.9897245621541221E-2</v>
      </c>
      <c r="C94">
        <v>2.2094784141406844E-3</v>
      </c>
      <c r="D94">
        <v>2.096826802106146E-2</v>
      </c>
      <c r="E94">
        <v>-1.1592434411226335E-2</v>
      </c>
    </row>
    <row r="95" spans="1:5">
      <c r="A95">
        <v>6.5465056963101894E-3</v>
      </c>
      <c r="B95">
        <v>-3.7260873381907145E-2</v>
      </c>
      <c r="C95">
        <v>-5.3153069728678806E-3</v>
      </c>
      <c r="D95">
        <v>-4.5965770171149188E-2</v>
      </c>
      <c r="E95">
        <v>-2.2562369545770844E-2</v>
      </c>
    </row>
    <row r="96" spans="1:5">
      <c r="A96">
        <v>-3.6572879551132302E-2</v>
      </c>
      <c r="B96">
        <v>2.0409428852951564E-2</v>
      </c>
      <c r="C96">
        <v>4.0102145805700285E-3</v>
      </c>
      <c r="D96">
        <v>1.8656885386949151E-2</v>
      </c>
      <c r="E96">
        <v>-2.8204385202356741E-2</v>
      </c>
    </row>
    <row r="97" spans="1:5">
      <c r="A97">
        <v>-2.4139722632988327E-2</v>
      </c>
      <c r="B97">
        <v>-6.8908414080035528E-3</v>
      </c>
      <c r="C97">
        <v>1.4219618295657353E-2</v>
      </c>
      <c r="D97">
        <v>-1.783490482120615E-2</v>
      </c>
      <c r="E97">
        <v>-1.1269219749785078E-2</v>
      </c>
    </row>
    <row r="98" spans="1:5">
      <c r="A98">
        <v>-5.9197457290425474E-3</v>
      </c>
      <c r="B98">
        <v>-2.8228300117701038E-2</v>
      </c>
      <c r="C98">
        <v>1.2790719883871191E-2</v>
      </c>
      <c r="D98">
        <v>-2.704573975507378E-2</v>
      </c>
      <c r="E98">
        <v>-3.1897189349112426E-2</v>
      </c>
    </row>
    <row r="99" spans="1:5">
      <c r="A99">
        <v>-1.3057287377955605E-2</v>
      </c>
      <c r="B99">
        <v>-1.2178539757611564E-2</v>
      </c>
      <c r="C99">
        <v>3.0461715307491363E-3</v>
      </c>
      <c r="D99">
        <v>-4.1637291087795E-2</v>
      </c>
      <c r="E99">
        <v>2.4533484891541026E-2</v>
      </c>
    </row>
    <row r="100" spans="1:5">
      <c r="A100">
        <v>7.0286278381047115E-3</v>
      </c>
      <c r="B100">
        <v>1.6173604250660778E-2</v>
      </c>
      <c r="C100">
        <v>3.7500828198502617E-2</v>
      </c>
      <c r="D100">
        <v>-1.0586352632226716E-2</v>
      </c>
      <c r="E100">
        <v>2.9850746268656851E-2</v>
      </c>
    </row>
    <row r="101" spans="1:5">
      <c r="A101">
        <v>-4.6378178673899227E-3</v>
      </c>
      <c r="B101">
        <v>1.8928238646797647E-2</v>
      </c>
      <c r="C101">
        <v>4.3084877208099956E-4</v>
      </c>
      <c r="D101">
        <v>3.022489009130876E-2</v>
      </c>
      <c r="E101">
        <v>-2.9180040852057197E-3</v>
      </c>
    </row>
    <row r="102" spans="1:5">
      <c r="A102">
        <v>-2.3135440357617584E-3</v>
      </c>
      <c r="B102">
        <v>-2.6420516623736085E-2</v>
      </c>
      <c r="C102">
        <v>-1.2512081772081266E-3</v>
      </c>
      <c r="D102">
        <v>-5.4969638862256281E-2</v>
      </c>
      <c r="E102">
        <v>-1.7770134709085828E-2</v>
      </c>
    </row>
    <row r="103" spans="1:5">
      <c r="A103">
        <v>-6.2736235046566505E-3</v>
      </c>
      <c r="B103">
        <v>-9.6984878490209477E-3</v>
      </c>
      <c r="C103">
        <v>-9.3650398079774058E-3</v>
      </c>
      <c r="D103">
        <v>6.1757719714964333E-2</v>
      </c>
      <c r="E103">
        <v>8.0901473562555049E-3</v>
      </c>
    </row>
    <row r="104" spans="1:5">
      <c r="A104">
        <v>-1.2999500019229926E-2</v>
      </c>
      <c r="B104">
        <v>3.8942104617732322E-2</v>
      </c>
      <c r="C104">
        <v>-1.5279499896672773E-2</v>
      </c>
      <c r="D104">
        <v>-1.5286943446662732E-2</v>
      </c>
      <c r="E104">
        <v>-1.536273115220488E-2</v>
      </c>
    </row>
    <row r="105" spans="1:5">
      <c r="A105">
        <v>1.7014785261675665E-2</v>
      </c>
      <c r="B105">
        <v>-1.2261580381466434E-4</v>
      </c>
      <c r="C105">
        <v>-1.4638078349186348E-3</v>
      </c>
      <c r="D105">
        <v>4.4470548749789857E-3</v>
      </c>
      <c r="E105">
        <v>-5.0009435742592511E-3</v>
      </c>
    </row>
    <row r="106" spans="1:5">
      <c r="A106">
        <v>-1.4151852851579173E-2</v>
      </c>
      <c r="B106">
        <v>3.9542261500113272E-2</v>
      </c>
      <c r="C106">
        <v>6.2813499711239116E-3</v>
      </c>
      <c r="D106">
        <v>2.3179945054945056E-2</v>
      </c>
      <c r="E106">
        <v>4.2641902776461675E-3</v>
      </c>
    </row>
    <row r="107" spans="1:5">
      <c r="A107">
        <v>4.1819941916748041E-3</v>
      </c>
      <c r="B107">
        <v>-1.1397048528464569E-2</v>
      </c>
      <c r="C107">
        <v>-4.4574507257892594E-3</v>
      </c>
      <c r="D107">
        <v>-1.3341239252890602E-2</v>
      </c>
      <c r="E107">
        <v>2.5650769523086125E-3</v>
      </c>
    </row>
    <row r="108" spans="1:5">
      <c r="A108">
        <v>2.8802485857700656E-2</v>
      </c>
      <c r="B108">
        <v>-1.8238356451556804E-3</v>
      </c>
      <c r="C108">
        <v>5.2993551152415146E-3</v>
      </c>
      <c r="D108">
        <v>-6.2710437710438091E-3</v>
      </c>
      <c r="E108">
        <v>-1.8097014925373221E-2</v>
      </c>
    </row>
    <row r="109" spans="1:5">
      <c r="A109">
        <v>-2.8823461136688981E-2</v>
      </c>
      <c r="B109">
        <v>-9.4140449243761467E-3</v>
      </c>
      <c r="C109">
        <v>1.8689301119373364E-2</v>
      </c>
      <c r="D109">
        <v>-1.0741943542343318E-2</v>
      </c>
      <c r="E109">
        <v>-1.143489487274077E-2</v>
      </c>
    </row>
    <row r="110" spans="1:5">
      <c r="A110">
        <v>-5.578639581409665E-3</v>
      </c>
      <c r="B110">
        <v>4.5406502934386053E-3</v>
      </c>
      <c r="C110">
        <v>0.11140031616484691</v>
      </c>
      <c r="D110">
        <v>-9.0357717539297916E-3</v>
      </c>
      <c r="E110">
        <v>1.2133656897517267E-2</v>
      </c>
    </row>
    <row r="111" spans="1:5">
      <c r="A111">
        <v>-1.0582413399314877E-2</v>
      </c>
      <c r="B111">
        <v>-2.7265409928099307E-2</v>
      </c>
      <c r="C111">
        <v>-3.6628694919600014E-3</v>
      </c>
      <c r="D111">
        <v>-3.8137947456147452E-2</v>
      </c>
      <c r="E111">
        <v>-2.0479063814225512E-2</v>
      </c>
    </row>
    <row r="112" spans="1:5">
      <c r="A112">
        <v>-1.6951689555813412E-2</v>
      </c>
      <c r="B112">
        <v>-1.7040543595335366E-2</v>
      </c>
      <c r="C112">
        <v>-5.3415899256629262E-2</v>
      </c>
      <c r="D112">
        <v>-1.3583871599138703E-2</v>
      </c>
      <c r="E112">
        <v>-2.8596802841918335E-2</v>
      </c>
    </row>
    <row r="113" spans="1:5">
      <c r="A113">
        <v>-8.2758108810212002E-3</v>
      </c>
      <c r="B113">
        <v>-1.4047945250378519E-2</v>
      </c>
      <c r="C113">
        <v>-6.4556133521651267E-3</v>
      </c>
      <c r="D113">
        <v>-4.1712147200997267E-3</v>
      </c>
      <c r="E113">
        <v>-1.2713722051731697E-2</v>
      </c>
    </row>
    <row r="114" spans="1:5">
      <c r="A114">
        <v>-1.0066127847171232E-2</v>
      </c>
      <c r="B114">
        <v>-2.9151279453577153E-3</v>
      </c>
      <c r="C114">
        <v>7.3567685741055631E-3</v>
      </c>
      <c r="D114">
        <v>-3.0353430353430421E-2</v>
      </c>
      <c r="E114">
        <v>-2.7375063960429737E-2</v>
      </c>
    </row>
    <row r="115" spans="1:5">
      <c r="A115">
        <v>1.3818019293083506E-2</v>
      </c>
      <c r="B115">
        <v>4.4380543464702608E-3</v>
      </c>
      <c r="C115">
        <v>-3.5569180516603169E-2</v>
      </c>
      <c r="D115">
        <v>-4.1562759767245109E-4</v>
      </c>
      <c r="E115">
        <v>6.8271036012967619E-4</v>
      </c>
    </row>
    <row r="116" spans="1:5">
      <c r="A116">
        <v>2.2741124485753571E-2</v>
      </c>
      <c r="B116">
        <v>-1.0587921974160273E-2</v>
      </c>
      <c r="C116">
        <v>5.0927732404030422E-3</v>
      </c>
      <c r="D116">
        <v>3.5891815726642851E-2</v>
      </c>
      <c r="E116">
        <v>-5.7695571016459822E-3</v>
      </c>
    </row>
    <row r="117" spans="1:5">
      <c r="A117">
        <v>-2.3561602188949884E-3</v>
      </c>
      <c r="B117">
        <v>-1.1779130077543266E-2</v>
      </c>
      <c r="C117">
        <v>6.9777524862477298E-3</v>
      </c>
      <c r="D117">
        <v>-1.336165282873138E-2</v>
      </c>
      <c r="E117">
        <v>-1.7997000499916795E-2</v>
      </c>
    </row>
    <row r="118" spans="1:5">
      <c r="A118">
        <v>-7.9741788494395636E-4</v>
      </c>
      <c r="B118">
        <v>6.3955967285553705E-3</v>
      </c>
      <c r="C118">
        <v>1.3609833138776402E-2</v>
      </c>
      <c r="D118">
        <v>-6.7507959034942694E-3</v>
      </c>
      <c r="E118">
        <v>-4.6442196052412579E-3</v>
      </c>
    </row>
    <row r="119" spans="1:5">
      <c r="A119">
        <v>-1.2486875656217257E-2</v>
      </c>
      <c r="B119">
        <v>-1.7885580504146209E-2</v>
      </c>
      <c r="C119">
        <v>-1.2992470195937614E-2</v>
      </c>
      <c r="D119">
        <v>-3.160983582200428E-2</v>
      </c>
      <c r="E119">
        <v>8.9532256714919649E-3</v>
      </c>
    </row>
    <row r="120" spans="1:5">
      <c r="A120">
        <v>2.2114905522977377E-2</v>
      </c>
      <c r="B120">
        <v>1.2338463119492236E-2</v>
      </c>
      <c r="C120">
        <v>7.5662904007812873E-3</v>
      </c>
      <c r="D120">
        <v>1.8233915082051264E-3</v>
      </c>
      <c r="E120">
        <v>-8.955966498051398E-3</v>
      </c>
    </row>
    <row r="121" spans="1:5">
      <c r="A121">
        <v>-2.0865388223815031E-2</v>
      </c>
      <c r="B121">
        <v>-7.7687351428516573E-3</v>
      </c>
      <c r="C121">
        <v>1.5801777179680999E-2</v>
      </c>
      <c r="D121">
        <v>-2.545784224841335E-2</v>
      </c>
      <c r="E121">
        <v>1.1406525203388524E-2</v>
      </c>
    </row>
    <row r="122" spans="1:5">
      <c r="A122">
        <v>-8.1146473106272782E-3</v>
      </c>
      <c r="B122">
        <v>5.4977342100662976E-2</v>
      </c>
      <c r="C122">
        <v>1.1578053623930783E-2</v>
      </c>
      <c r="D122">
        <v>6.3868613138686131E-3</v>
      </c>
      <c r="E122">
        <v>-3.2930489090761725E-2</v>
      </c>
    </row>
    <row r="123" spans="1:5">
      <c r="A123">
        <v>-3.8193414417087589E-3</v>
      </c>
      <c r="B123">
        <v>-2.61956984319246E-2</v>
      </c>
      <c r="C123">
        <v>9.2632592791938619E-3</v>
      </c>
      <c r="D123">
        <v>2.190260641015949E-4</v>
      </c>
      <c r="E123">
        <v>1.1319826101222364E-2</v>
      </c>
    </row>
    <row r="124" spans="1:5">
      <c r="A124">
        <v>-2.8705204394021185E-2</v>
      </c>
      <c r="B124">
        <v>-1.2638179584976405E-2</v>
      </c>
      <c r="C124">
        <v>-9.3033698405237085E-3</v>
      </c>
      <c r="D124">
        <v>-4.293749781644135E-2</v>
      </c>
      <c r="E124">
        <v>-9.345034942304568E-3</v>
      </c>
    </row>
    <row r="125" spans="1:5">
      <c r="A125">
        <v>-3.6959954069183945E-3</v>
      </c>
      <c r="B125">
        <v>-2.9554394263524089E-2</v>
      </c>
      <c r="C125">
        <v>1.5677443721540094E-2</v>
      </c>
      <c r="D125">
        <v>9.9502487562190024E-3</v>
      </c>
      <c r="E125">
        <v>-5.012936610608058E-3</v>
      </c>
    </row>
    <row r="126" spans="1:5">
      <c r="A126">
        <v>3.4205883411946854E-3</v>
      </c>
      <c r="B126">
        <v>0.10916972834558002</v>
      </c>
      <c r="C126">
        <v>1.1693714087969525E-2</v>
      </c>
      <c r="D126">
        <v>1.8027571580063306E-3</v>
      </c>
      <c r="E126">
        <v>1.2442698100851381E-2</v>
      </c>
    </row>
    <row r="127" spans="1:5">
      <c r="A127">
        <v>-2.3658862405962079E-2</v>
      </c>
      <c r="B127">
        <v>-2.1122107715256726E-2</v>
      </c>
      <c r="C127">
        <v>8.8882423537113668E-3</v>
      </c>
      <c r="D127">
        <v>5.1868377021751254E-2</v>
      </c>
      <c r="E127">
        <v>8.8364026756956125E-3</v>
      </c>
    </row>
    <row r="128" spans="1:5">
      <c r="A128">
        <v>-5.0715260046867898E-3</v>
      </c>
      <c r="B128">
        <v>-2.4997177523791908E-2</v>
      </c>
      <c r="C128">
        <v>-4.7127468581687872E-3</v>
      </c>
      <c r="D128">
        <v>8.2474226804123713E-3</v>
      </c>
      <c r="E128">
        <v>2.4781100280867497E-4</v>
      </c>
    </row>
    <row r="129" spans="1:5">
      <c r="A129">
        <v>-1.1615445777301453E-2</v>
      </c>
      <c r="B129">
        <v>-4.4349950813949754E-2</v>
      </c>
      <c r="C129">
        <v>-1.3032294941411806E-2</v>
      </c>
      <c r="D129">
        <v>5.6929573216709054E-3</v>
      </c>
      <c r="E129">
        <v>-1.0705238211980172E-2</v>
      </c>
    </row>
    <row r="130" spans="1:5">
      <c r="A130">
        <v>-2.0354653970882809E-3</v>
      </c>
      <c r="B130">
        <v>0.16747677123931173</v>
      </c>
      <c r="C130">
        <v>1.6368204726010461E-2</v>
      </c>
      <c r="D130">
        <v>-5.5488902219555068E-3</v>
      </c>
      <c r="E130">
        <v>-8.4271939064904499E-3</v>
      </c>
    </row>
    <row r="131" spans="1:5">
      <c r="A131">
        <v>-5.0116710146917171E-3</v>
      </c>
      <c r="B131">
        <v>-1.8165416596948831E-2</v>
      </c>
      <c r="C131">
        <v>-8.6460725521392261E-3</v>
      </c>
      <c r="D131">
        <v>8.6307178505749826E-4</v>
      </c>
      <c r="E131">
        <v>4.6401823510255763E-3</v>
      </c>
    </row>
    <row r="132" spans="1:5">
      <c r="A132">
        <v>8.1323320759940487E-3</v>
      </c>
      <c r="B132">
        <v>2.3331472175693254E-2</v>
      </c>
      <c r="C132">
        <v>4.3018682399213366E-3</v>
      </c>
      <c r="D132">
        <v>3.4264628360568977E-3</v>
      </c>
      <c r="E132">
        <v>-8.5552865213881432E-3</v>
      </c>
    </row>
    <row r="133" spans="1:5">
      <c r="A133">
        <v>8.8677861955799436E-3</v>
      </c>
      <c r="B133">
        <v>1.1168192986374804E-4</v>
      </c>
      <c r="C133">
        <v>7.9947527602667878E-3</v>
      </c>
      <c r="D133">
        <v>-2.471447982079238E-2</v>
      </c>
      <c r="E133">
        <v>4.8661800486618006E-3</v>
      </c>
    </row>
    <row r="134" spans="1:5">
      <c r="A134">
        <v>-1.8672057009730025E-2</v>
      </c>
      <c r="B134">
        <v>8.7195547844895836E-3</v>
      </c>
      <c r="C134">
        <v>-1.9689792885669199E-2</v>
      </c>
      <c r="D134">
        <v>5.2419801395399675E-3</v>
      </c>
      <c r="E134">
        <v>-1.194005929962344E-2</v>
      </c>
    </row>
    <row r="135" spans="1:5">
      <c r="A135">
        <v>2.0942767878601863E-3</v>
      </c>
      <c r="B135">
        <v>-1.3323749323808686E-2</v>
      </c>
      <c r="C135">
        <v>1.3234515616728428E-3</v>
      </c>
      <c r="D135">
        <v>2.405269390171699E-3</v>
      </c>
      <c r="E135">
        <v>-1.0074567666190559E-2</v>
      </c>
    </row>
    <row r="136" spans="1:5">
      <c r="A136">
        <v>-2.3435928384630891E-2</v>
      </c>
      <c r="B136">
        <v>-7.6842755456203301E-3</v>
      </c>
      <c r="C136">
        <v>-3.4860096239529236E-3</v>
      </c>
      <c r="D136">
        <v>1.171801879375545E-2</v>
      </c>
      <c r="E136">
        <v>-4.2654028436019675E-3</v>
      </c>
    </row>
    <row r="137" spans="1:5">
      <c r="A137">
        <v>-1.4635435594172314E-2</v>
      </c>
      <c r="B137">
        <v>-4.1447590035002379E-3</v>
      </c>
      <c r="C137">
        <v>1.995928161128481E-2</v>
      </c>
      <c r="D137">
        <v>1.1627026208150211E-2</v>
      </c>
      <c r="E137">
        <v>-9.9319621490576715E-3</v>
      </c>
    </row>
    <row r="138" spans="1:5">
      <c r="A138">
        <v>9.0003000100003332E-3</v>
      </c>
      <c r="B138">
        <v>-1.0843504400420175E-2</v>
      </c>
      <c r="C138">
        <v>5.1746064229436254E-3</v>
      </c>
      <c r="D138">
        <v>-1.5146925174193082E-4</v>
      </c>
      <c r="E138">
        <v>-8.1445857896369836E-3</v>
      </c>
    </row>
    <row r="139" spans="1:5">
      <c r="A139">
        <v>-2.0624729716243032E-3</v>
      </c>
      <c r="B139">
        <v>3.16087777939253E-3</v>
      </c>
      <c r="C139">
        <v>5.0095489936830264E-3</v>
      </c>
      <c r="D139">
        <v>1.9349698372350284E-3</v>
      </c>
      <c r="E139">
        <v>-1.45990980661927E-2</v>
      </c>
    </row>
    <row r="140" spans="1:5">
      <c r="A140">
        <v>7.3724070909151843E-3</v>
      </c>
      <c r="B140">
        <v>1.2976880101871768E-2</v>
      </c>
      <c r="C140">
        <v>4.8723182991179753E-2</v>
      </c>
      <c r="D140">
        <v>4.4588414634145652E-3</v>
      </c>
      <c r="E140">
        <v>6.1185468451239349E-4</v>
      </c>
    </row>
    <row r="141" spans="1:5">
      <c r="A141">
        <v>3.3669333887560986E-2</v>
      </c>
      <c r="B141">
        <v>-1.3298181395618976E-2</v>
      </c>
      <c r="C141">
        <v>-2.0212388579019216E-2</v>
      </c>
      <c r="D141">
        <v>-5.1184834123222745E-3</v>
      </c>
      <c r="E141">
        <v>-1.9865067466266866E-2</v>
      </c>
    </row>
    <row r="142" spans="1:5">
      <c r="A142">
        <v>-9.7756740069973244E-3</v>
      </c>
      <c r="B142">
        <v>-7.6201258409353163E-4</v>
      </c>
      <c r="C142">
        <v>1.1203968708261727E-2</v>
      </c>
      <c r="D142">
        <v>1.2825928343765636E-2</v>
      </c>
      <c r="E142">
        <v>-1.6151633601298097E-2</v>
      </c>
    </row>
    <row r="143" spans="1:5">
      <c r="A143">
        <v>-1.192977699450953E-2</v>
      </c>
      <c r="B143">
        <v>-1.528941190110458E-3</v>
      </c>
      <c r="C143">
        <v>3.4772788299031701E-2</v>
      </c>
      <c r="D143">
        <v>2.648902203476677E-2</v>
      </c>
      <c r="E143">
        <v>2.6341684959503585E-2</v>
      </c>
    </row>
    <row r="144" spans="1:5">
      <c r="A144">
        <v>9.9606366592503541E-3</v>
      </c>
      <c r="B144">
        <v>3.3881545463799361E-3</v>
      </c>
      <c r="C144">
        <v>-1.1938947499843935E-2</v>
      </c>
      <c r="D144">
        <v>1.8753513773994167E-2</v>
      </c>
      <c r="E144">
        <v>-2.3071803593877133E-2</v>
      </c>
    </row>
    <row r="145" spans="1:5">
      <c r="A145">
        <v>-6.326315431447879E-3</v>
      </c>
      <c r="B145">
        <v>2.5201815783000403E-2</v>
      </c>
      <c r="C145">
        <v>1.0566823329022489E-2</v>
      </c>
      <c r="D145">
        <v>3.2229473853839338E-3</v>
      </c>
      <c r="E145">
        <v>-5.6617647058823861E-3</v>
      </c>
    </row>
    <row r="146" spans="1:5">
      <c r="A146">
        <v>-7.5276802592493183E-3</v>
      </c>
      <c r="B146">
        <v>1.840085627747045E-2</v>
      </c>
      <c r="C146">
        <v>-5.4381664709449292E-4</v>
      </c>
      <c r="D146">
        <v>3.0343281723465159E-2</v>
      </c>
      <c r="E146">
        <v>0.12035587774940266</v>
      </c>
    </row>
    <row r="147" spans="1:5">
      <c r="A147">
        <v>3.0473352745987673E-3</v>
      </c>
      <c r="B147">
        <v>-1.1236208061247522E-2</v>
      </c>
      <c r="C147">
        <v>9.8372398424131768E-3</v>
      </c>
      <c r="D147">
        <v>1.9547496256861661E-3</v>
      </c>
      <c r="E147">
        <v>6.050058014255082E-3</v>
      </c>
    </row>
    <row r="148" spans="1:5">
      <c r="A148">
        <v>-5.4145516074447007E-4</v>
      </c>
      <c r="B148">
        <v>-1.125079779733724E-2</v>
      </c>
      <c r="C148">
        <v>4.2842641216859195E-3</v>
      </c>
      <c r="D148">
        <v>2.436946148602602E-2</v>
      </c>
      <c r="E148">
        <v>4.2446941323345064E-3</v>
      </c>
    </row>
    <row r="149" spans="1:5">
      <c r="A149">
        <v>1.4522607889587045E-2</v>
      </c>
      <c r="B149">
        <v>-2.5686008897573458E-3</v>
      </c>
      <c r="C149">
        <v>2.8704632537946716E-2</v>
      </c>
      <c r="D149">
        <v>-1.2453719286435695E-2</v>
      </c>
      <c r="E149">
        <v>1.5838612870957744E-3</v>
      </c>
    </row>
    <row r="150" spans="1:5">
      <c r="A150">
        <v>1.0998453342498085E-3</v>
      </c>
      <c r="B150">
        <v>-1.7219554779572294E-2</v>
      </c>
      <c r="C150">
        <v>9.0854027861901887E-3</v>
      </c>
      <c r="D150">
        <v>2.949711959111204E-2</v>
      </c>
      <c r="E150">
        <v>5.8386854616716832E-4</v>
      </c>
    </row>
    <row r="151" spans="1:5">
      <c r="A151">
        <v>1.8482864844050893E-2</v>
      </c>
      <c r="B151">
        <v>3.3064004028990688E-3</v>
      </c>
      <c r="C151">
        <v>6.475984889367987E-4</v>
      </c>
      <c r="D151">
        <v>2.0780828580271478E-2</v>
      </c>
      <c r="E151">
        <v>9.1750841750842509E-3</v>
      </c>
    </row>
    <row r="152" spans="1:5">
      <c r="A152">
        <v>-8.2968825939040789E-3</v>
      </c>
      <c r="B152">
        <v>1.0323950828497054E-2</v>
      </c>
      <c r="C152">
        <v>-1.0182111041714575E-2</v>
      </c>
      <c r="D152">
        <v>-1.7335766423357706E-2</v>
      </c>
      <c r="E152">
        <v>-2.3513604299630121E-3</v>
      </c>
    </row>
    <row r="153" spans="1:5">
      <c r="A153">
        <v>3.5256064690026921E-2</v>
      </c>
      <c r="B153">
        <v>2.3024404963977271E-2</v>
      </c>
      <c r="C153">
        <v>-1.0097941826004327E-3</v>
      </c>
      <c r="D153">
        <v>-1.7782018475950511E-3</v>
      </c>
      <c r="E153">
        <v>-2.5129837493717542E-3</v>
      </c>
    </row>
    <row r="154" spans="1:5">
      <c r="A154">
        <v>-1.9727403156384504E-3</v>
      </c>
      <c r="B154">
        <v>1.1028991144772697E-2</v>
      </c>
      <c r="C154">
        <v>-4.0717877437553059E-3</v>
      </c>
      <c r="D154">
        <v>-1.3857405585732044E-2</v>
      </c>
      <c r="E154">
        <v>1.5136054421768668E-2</v>
      </c>
    </row>
    <row r="155" spans="1:5">
      <c r="A155">
        <v>-6.8749332098458236E-3</v>
      </c>
      <c r="B155">
        <v>-1.0572786959474783E-2</v>
      </c>
      <c r="C155">
        <v>9.1754474268316427E-3</v>
      </c>
      <c r="D155">
        <v>1.9490712479288314E-2</v>
      </c>
      <c r="E155">
        <v>-4.6550994498518834E-3</v>
      </c>
    </row>
    <row r="156" spans="1:5">
      <c r="A156">
        <v>-9.9640582185677633E-4</v>
      </c>
      <c r="B156">
        <v>-1.7627915386005874E-3</v>
      </c>
      <c r="C156">
        <v>-2.8550271515551035E-3</v>
      </c>
      <c r="D156">
        <v>-4.9030242547835846E-3</v>
      </c>
      <c r="E156">
        <v>-1.7381902860944851E-2</v>
      </c>
    </row>
    <row r="157" spans="1:5">
      <c r="A157">
        <v>2.4761140689957002E-2</v>
      </c>
      <c r="B157">
        <v>1.0305198264708094E-2</v>
      </c>
      <c r="C157">
        <v>3.5211147641517435E-2</v>
      </c>
      <c r="D157">
        <v>2.7507802050824707E-2</v>
      </c>
      <c r="E157">
        <v>1.4683544303797546E-2</v>
      </c>
    </row>
    <row r="158" spans="1:5">
      <c r="A158">
        <v>-1.2531508822470358E-2</v>
      </c>
      <c r="B158">
        <v>-3.9043250824456997E-3</v>
      </c>
      <c r="C158">
        <v>3.8561840023941143E-3</v>
      </c>
      <c r="D158">
        <v>6.2455389007855591E-4</v>
      </c>
      <c r="E158">
        <v>-5.4553084347461183E-3</v>
      </c>
    </row>
    <row r="159" spans="1:5">
      <c r="A159">
        <v>-2.9441332758867651E-3</v>
      </c>
      <c r="B159">
        <v>9.134655843808067E-3</v>
      </c>
      <c r="C159">
        <v>-4.562051561396223E-3</v>
      </c>
      <c r="D159">
        <v>-1.6108501953210844E-2</v>
      </c>
      <c r="E159">
        <v>-3.7405073517531071E-2</v>
      </c>
    </row>
    <row r="160" spans="1:5">
      <c r="A160">
        <v>-3.6129568106312328E-2</v>
      </c>
      <c r="B160">
        <v>-2.5279453546207708E-2</v>
      </c>
      <c r="C160">
        <v>-6.549401197603863E-4</v>
      </c>
      <c r="D160">
        <v>1.2217878087791007E-2</v>
      </c>
      <c r="E160">
        <v>1.3427214671688115E-2</v>
      </c>
    </row>
    <row r="161" spans="1:5">
      <c r="A161">
        <v>-1.3047339299132547E-2</v>
      </c>
      <c r="B161">
        <v>1.2442149290691876E-2</v>
      </c>
      <c r="C161">
        <v>5.6970796051392224E-3</v>
      </c>
      <c r="D161">
        <v>-2.9534773423015564E-2</v>
      </c>
      <c r="E161">
        <v>-1.7614413255046944E-2</v>
      </c>
    </row>
    <row r="162" spans="1:5">
      <c r="A162">
        <v>-2.653278361484231E-2</v>
      </c>
      <c r="B162">
        <v>-6.6022169571839637E-2</v>
      </c>
      <c r="C162">
        <v>-2.8520617614306756E-2</v>
      </c>
      <c r="D162">
        <v>-1.356753997958474E-2</v>
      </c>
      <c r="E162">
        <v>-2.4020723761676847E-2</v>
      </c>
    </row>
    <row r="163" spans="1:5">
      <c r="A163">
        <v>1.7043148924658493E-2</v>
      </c>
      <c r="B163">
        <v>1.768914467782793E-2</v>
      </c>
      <c r="C163">
        <v>2.0471506105834432E-2</v>
      </c>
      <c r="D163">
        <v>1.568102293835575E-2</v>
      </c>
      <c r="E163">
        <v>-1.1714507370054235E-2</v>
      </c>
    </row>
    <row r="164" spans="1:5">
      <c r="A164">
        <v>1.1250555688540722E-2</v>
      </c>
      <c r="B164">
        <v>2.3315415344847844E-2</v>
      </c>
      <c r="C164">
        <v>-1.7805512925957588E-4</v>
      </c>
      <c r="D164">
        <v>2.9530798309984476E-2</v>
      </c>
      <c r="E164">
        <v>3.8940809968847352E-3</v>
      </c>
    </row>
    <row r="165" spans="1:5">
      <c r="A165">
        <v>2.0559915019017919E-3</v>
      </c>
      <c r="B165">
        <v>-3.2813432199778399E-2</v>
      </c>
      <c r="C165">
        <v>-3.0090460526315761E-2</v>
      </c>
      <c r="D165">
        <v>-6.1991573150890621E-2</v>
      </c>
      <c r="E165">
        <v>-2.2682295630994029E-2</v>
      </c>
    </row>
    <row r="166" spans="1:5">
      <c r="A166">
        <v>-7.5497364393809956E-3</v>
      </c>
      <c r="B166">
        <v>-6.6009411664496676E-4</v>
      </c>
      <c r="C166">
        <v>-3.2794317666616238E-2</v>
      </c>
      <c r="D166">
        <v>-4.725755166931641E-2</v>
      </c>
      <c r="E166">
        <v>-4.5648204503966554E-4</v>
      </c>
    </row>
    <row r="167" spans="1:5">
      <c r="A167">
        <v>2.0475446815894499E-2</v>
      </c>
      <c r="B167">
        <v>1.1369369497402811E-3</v>
      </c>
      <c r="C167">
        <v>-3.0687495044009775E-3</v>
      </c>
      <c r="D167">
        <v>2.3853065118864159E-4</v>
      </c>
      <c r="E167">
        <v>-3.1963470319634604E-2</v>
      </c>
    </row>
    <row r="168" spans="1:5">
      <c r="A168">
        <v>6.598138630365645E-4</v>
      </c>
      <c r="B168">
        <v>6.3932491865412548E-3</v>
      </c>
      <c r="C168">
        <v>-1.1880247109139869E-3</v>
      </c>
      <c r="D168">
        <v>-1.4032612104107766E-2</v>
      </c>
      <c r="E168">
        <v>2.4363233665558913E-3</v>
      </c>
    </row>
    <row r="169" spans="1:5">
      <c r="A169">
        <v>-2.5779822721429146E-2</v>
      </c>
      <c r="B169">
        <v>-5.1367061049966013E-3</v>
      </c>
      <c r="C169">
        <v>-7.1276401967199882E-5</v>
      </c>
      <c r="D169">
        <v>6.2754941951675134E-4</v>
      </c>
      <c r="E169">
        <v>1.3089005235602094E-2</v>
      </c>
    </row>
    <row r="170" spans="1:5">
      <c r="A170">
        <v>7.0868824531516803E-3</v>
      </c>
      <c r="B170">
        <v>-2.0180966455678552E-2</v>
      </c>
      <c r="C170">
        <v>-4.7685104907230795E-3</v>
      </c>
      <c r="D170">
        <v>1.8780468312954528E-2</v>
      </c>
      <c r="E170">
        <v>3.091988588171787E-2</v>
      </c>
    </row>
    <row r="171" spans="1:5">
      <c r="A171">
        <v>-8.5129383149786571E-3</v>
      </c>
      <c r="B171">
        <v>3.3567975330168053E-2</v>
      </c>
      <c r="C171">
        <v>3.4800765616843574E-3</v>
      </c>
      <c r="D171">
        <v>2.6918342224045922E-2</v>
      </c>
      <c r="E171">
        <v>-1.5397644160443451E-3</v>
      </c>
    </row>
    <row r="172" spans="1:5">
      <c r="A172">
        <v>1.4427195778074744E-2</v>
      </c>
      <c r="B172">
        <v>-2.0058742957199567E-2</v>
      </c>
      <c r="C172">
        <v>-1.9576577572189492E-3</v>
      </c>
      <c r="D172">
        <v>1.970793757060961E-2</v>
      </c>
      <c r="E172">
        <v>1.0789980732177965E-3</v>
      </c>
    </row>
    <row r="173" spans="1:5">
      <c r="A173">
        <v>-3.8010153622997353E-2</v>
      </c>
      <c r="B173">
        <v>1.9950195257229402E-3</v>
      </c>
      <c r="C173">
        <v>2.504308705608195E-2</v>
      </c>
      <c r="D173">
        <v>-7.8874174934617462E-3</v>
      </c>
      <c r="E173">
        <v>2.2539207187327534E-2</v>
      </c>
    </row>
    <row r="174" spans="1:5">
      <c r="A174">
        <v>3.1663435703839712E-2</v>
      </c>
      <c r="B174">
        <v>0.13134999719867779</v>
      </c>
      <c r="C174">
        <v>1.6976070570422393E-2</v>
      </c>
      <c r="D174">
        <v>-4.0011158490415685E-2</v>
      </c>
      <c r="E174">
        <v>-1.4063714063713994E-2</v>
      </c>
    </row>
    <row r="175" spans="1:5">
      <c r="A175">
        <v>1.2569736207727803E-2</v>
      </c>
      <c r="B175">
        <v>-1.5871640568385897E-2</v>
      </c>
      <c r="C175">
        <v>1.5450177564236443E-2</v>
      </c>
      <c r="D175">
        <v>-1.2047718414110755E-2</v>
      </c>
      <c r="E175">
        <v>3.9244186046511552E-2</v>
      </c>
    </row>
    <row r="176" spans="1:5">
      <c r="A176">
        <v>-9.11107319570033E-3</v>
      </c>
      <c r="B176">
        <v>-1.6157655318852146E-2</v>
      </c>
      <c r="C176">
        <v>-2.3092570361478528E-3</v>
      </c>
      <c r="D176">
        <v>-3.2963151905192052E-3</v>
      </c>
      <c r="E176">
        <v>-2.3959646910466478E-2</v>
      </c>
    </row>
    <row r="177" spans="1:5">
      <c r="A177">
        <v>8.6043710204784032E-3</v>
      </c>
      <c r="B177">
        <v>-1.7324621523652866E-2</v>
      </c>
      <c r="C177">
        <v>1.7076769149892441E-2</v>
      </c>
      <c r="D177">
        <v>-1.8033987129590277E-2</v>
      </c>
      <c r="E177">
        <v>-5.3308247099403848E-3</v>
      </c>
    </row>
    <row r="178" spans="1:5">
      <c r="A178">
        <v>1.1171434537481697E-2</v>
      </c>
      <c r="B178">
        <v>-6.7995310668229501E-3</v>
      </c>
      <c r="C178">
        <v>-3.2285327924273773E-3</v>
      </c>
      <c r="D178">
        <v>2.9965073821241469E-2</v>
      </c>
      <c r="E178">
        <v>-7.3151750972763356E-3</v>
      </c>
    </row>
    <row r="179" spans="1:5">
      <c r="A179">
        <v>-4.9864949096198111E-3</v>
      </c>
      <c r="B179">
        <v>-2.0665901262916189E-2</v>
      </c>
      <c r="C179">
        <v>-1.0313417480113362E-2</v>
      </c>
      <c r="D179">
        <v>-3.9713392789084638E-2</v>
      </c>
      <c r="E179">
        <v>1.228927052150615E-2</v>
      </c>
    </row>
    <row r="180" spans="1:5">
      <c r="A180">
        <v>2.0820320632937745E-3</v>
      </c>
      <c r="B180">
        <v>-1.8623652474794153E-2</v>
      </c>
      <c r="C180">
        <v>7.4440550013480655E-2</v>
      </c>
      <c r="D180">
        <v>8.6882977087499487E-3</v>
      </c>
      <c r="E180">
        <v>-1.6121531545496788E-2</v>
      </c>
    </row>
    <row r="181" spans="1:5">
      <c r="A181">
        <v>-2.2159130254136268E-3</v>
      </c>
      <c r="B181">
        <v>1.8509332405398801E-2</v>
      </c>
      <c r="C181">
        <v>-1.8627295337884382E-2</v>
      </c>
      <c r="D181">
        <v>-3.5413653724923055E-2</v>
      </c>
      <c r="E181">
        <v>-1.1265231052187942E-2</v>
      </c>
    </row>
    <row r="182" spans="1:5">
      <c r="A182">
        <v>2.2625075239882317E-2</v>
      </c>
      <c r="B182">
        <v>-2.4723628250211179E-2</v>
      </c>
      <c r="C182">
        <v>-1.5892303819881312E-2</v>
      </c>
      <c r="D182">
        <v>4.0955763143673246E-2</v>
      </c>
      <c r="E182">
        <v>3.7692307692308393E-3</v>
      </c>
    </row>
    <row r="183" spans="1:5">
      <c r="A183">
        <v>-9.7124824684431347E-3</v>
      </c>
      <c r="B183">
        <v>2.7709135703525577E-2</v>
      </c>
      <c r="C183">
        <v>-1.619004517159231E-2</v>
      </c>
      <c r="D183">
        <v>-2.2722896206432085E-3</v>
      </c>
      <c r="E183">
        <v>-5.1274202188720018E-3</v>
      </c>
    </row>
    <row r="184" spans="1:5">
      <c r="A184">
        <v>3.7996797204833344E-2</v>
      </c>
      <c r="B184">
        <v>-2.2898161911322139E-2</v>
      </c>
      <c r="C184">
        <v>-2.5041949524287829E-3</v>
      </c>
      <c r="D184">
        <v>-3.4363494365725791E-2</v>
      </c>
      <c r="E184">
        <v>1.3888888888888959E-2</v>
      </c>
    </row>
    <row r="185" spans="1:5">
      <c r="A185">
        <v>7.2955237012868324E-3</v>
      </c>
      <c r="B185">
        <v>-3.2698121015311075E-2</v>
      </c>
      <c r="C185">
        <v>-4.8400495024327706E-3</v>
      </c>
      <c r="D185">
        <v>-2.8997544417160095E-2</v>
      </c>
      <c r="E185">
        <v>1.8250770324721426E-2</v>
      </c>
    </row>
    <row r="186" spans="1:5">
      <c r="A186">
        <v>-3.0336257309942186E-3</v>
      </c>
      <c r="B186">
        <v>0.11421359466091495</v>
      </c>
      <c r="C186">
        <v>3.8338995581686033E-2</v>
      </c>
      <c r="D186">
        <v>1.2060521891674586E-2</v>
      </c>
      <c r="E186">
        <v>-7.8388335815630632E-3</v>
      </c>
    </row>
    <row r="187" spans="1:5">
      <c r="A187">
        <v>-2.2973416475222191E-3</v>
      </c>
      <c r="B187">
        <v>5.3740630745298841E-3</v>
      </c>
      <c r="C187">
        <v>4.8021224850762125E-3</v>
      </c>
      <c r="D187">
        <v>2.5589471760183445E-4</v>
      </c>
      <c r="E187">
        <v>-1.997388031036337E-2</v>
      </c>
    </row>
    <row r="188" spans="1:5">
      <c r="A188">
        <v>-1.9241085798075794E-2</v>
      </c>
      <c r="B188">
        <v>-4.6141333249913978E-3</v>
      </c>
      <c r="C188">
        <v>2.4527036822267392E-2</v>
      </c>
      <c r="D188">
        <v>1.1350192250813301E-2</v>
      </c>
      <c r="E188">
        <v>6.0282865754694749E-3</v>
      </c>
    </row>
    <row r="189" spans="1:5">
      <c r="A189">
        <v>1.6135479885161935E-2</v>
      </c>
      <c r="B189">
        <v>2.2821261448626107E-2</v>
      </c>
      <c r="C189">
        <v>1.0918150509269337E-2</v>
      </c>
      <c r="D189">
        <v>2.9664787896766538E-3</v>
      </c>
      <c r="E189">
        <v>2.9437504972551515E-2</v>
      </c>
    </row>
    <row r="190" spans="1:5">
      <c r="A190">
        <v>1.0168869309838405E-2</v>
      </c>
      <c r="B190">
        <v>-2.0235585476147615E-2</v>
      </c>
      <c r="C190">
        <v>3.6403750689465312E-3</v>
      </c>
      <c r="D190">
        <v>-5.1886442813714191E-4</v>
      </c>
      <c r="E190">
        <v>2.2326768200304457E-3</v>
      </c>
    </row>
    <row r="191" spans="1:5">
      <c r="A191">
        <v>-3.694537740852042E-2</v>
      </c>
      <c r="B191">
        <v>-1.424334202020591E-3</v>
      </c>
      <c r="C191">
        <v>2.1341320288807239E-2</v>
      </c>
      <c r="D191">
        <v>-7.5403685585022258E-3</v>
      </c>
      <c r="E191">
        <v>9.823657299299314E-3</v>
      </c>
    </row>
    <row r="192" spans="1:5">
      <c r="A192">
        <v>2.8171573973100692E-2</v>
      </c>
      <c r="B192">
        <v>9.4802455383594438E-3</v>
      </c>
      <c r="C192">
        <v>-4.7283974844176454E-3</v>
      </c>
      <c r="D192">
        <v>-2.2542604443805375E-2</v>
      </c>
      <c r="E192">
        <v>1.3134279654103555E-2</v>
      </c>
    </row>
    <row r="193" spans="1:5">
      <c r="A193">
        <v>-3.8383545770567457E-3</v>
      </c>
      <c r="B193">
        <v>1.8044969964621784E-3</v>
      </c>
      <c r="C193">
        <v>-1.8685825866788749E-4</v>
      </c>
      <c r="D193">
        <v>-2.1081899130679649E-2</v>
      </c>
      <c r="E193">
        <v>8.3909180651530486E-3</v>
      </c>
    </row>
    <row r="194" spans="1:5">
      <c r="A194">
        <v>1.7651177359324942E-2</v>
      </c>
      <c r="B194">
        <v>-6.2213902565635554E-3</v>
      </c>
      <c r="C194">
        <v>-5.8977597800646438E-3</v>
      </c>
      <c r="D194">
        <v>4.5248868778280542E-2</v>
      </c>
      <c r="E194">
        <v>1.3422259274697715E-2</v>
      </c>
    </row>
    <row r="195" spans="1:5">
      <c r="A195">
        <v>-3.0858528342089164E-3</v>
      </c>
      <c r="B195">
        <v>-3.9640260716970535E-3</v>
      </c>
      <c r="C195">
        <v>1.2688230701944116E-2</v>
      </c>
      <c r="D195">
        <v>1.3874902092424854E-2</v>
      </c>
      <c r="E195">
        <v>-1.4055564688476007E-2</v>
      </c>
    </row>
    <row r="196" spans="1:5">
      <c r="A196">
        <v>-2.2093691622359534E-2</v>
      </c>
      <c r="B196">
        <v>4.6242230913320399E-4</v>
      </c>
      <c r="C196">
        <v>-1.4679851347969904E-2</v>
      </c>
      <c r="D196">
        <v>1.7147843241397554E-2</v>
      </c>
      <c r="E196">
        <v>-6.1269504125479948E-3</v>
      </c>
    </row>
    <row r="197" spans="1:5">
      <c r="A197">
        <v>-8.4422754960283095E-3</v>
      </c>
      <c r="B197">
        <v>-9.2944885313621609E-3</v>
      </c>
      <c r="C197">
        <v>2.3145777626064224E-2</v>
      </c>
      <c r="D197">
        <v>-3.7536057253441314E-2</v>
      </c>
      <c r="E197">
        <v>-3.6521054702872958E-2</v>
      </c>
    </row>
    <row r="198" spans="1:5">
      <c r="A198">
        <v>7.6815391794393516E-3</v>
      </c>
      <c r="B198">
        <v>-2.9805451688072401E-3</v>
      </c>
      <c r="C198">
        <v>1.3716537703657493E-2</v>
      </c>
      <c r="D198">
        <v>9.5845467615291047E-3</v>
      </c>
      <c r="E198">
        <v>5.0628905940986405E-3</v>
      </c>
    </row>
    <row r="199" spans="1:5">
      <c r="A199">
        <v>-1.160150429291131E-2</v>
      </c>
      <c r="B199">
        <v>1.3360215897323335E-2</v>
      </c>
      <c r="C199">
        <v>-1.355900061631821E-2</v>
      </c>
      <c r="D199">
        <v>-4.6963859842231448E-3</v>
      </c>
      <c r="E199">
        <v>-6.5231059415279636E-3</v>
      </c>
    </row>
    <row r="200" spans="1:5">
      <c r="A200">
        <v>-5.293619424054207E-3</v>
      </c>
      <c r="B200">
        <v>4.8718959400866589E-3</v>
      </c>
      <c r="C200">
        <v>1.8159175162187246E-2</v>
      </c>
      <c r="D200">
        <v>1.425275379577262E-2</v>
      </c>
      <c r="E200">
        <v>4.209664209664217E-2</v>
      </c>
    </row>
    <row r="201" spans="1:5">
      <c r="A201">
        <v>-8.6761824797089906E-3</v>
      </c>
      <c r="B201">
        <v>1.5238005005644593E-3</v>
      </c>
      <c r="C201">
        <v>6.4723668576165344E-4</v>
      </c>
      <c r="D201">
        <v>-3.9874231813634545E-2</v>
      </c>
      <c r="E201">
        <v>4.5248868778280547E-3</v>
      </c>
    </row>
    <row r="202" spans="1:5">
      <c r="A202">
        <v>4.3217033835775912E-3</v>
      </c>
      <c r="B202">
        <v>1.6345690900337082E-2</v>
      </c>
      <c r="C202">
        <v>-8.4863461777916864E-3</v>
      </c>
      <c r="D202">
        <v>1.4131458801362417E-2</v>
      </c>
      <c r="E202">
        <v>3.0084745762711865E-2</v>
      </c>
    </row>
    <row r="203" spans="1:5">
      <c r="A203">
        <v>-3.3965964003082401E-3</v>
      </c>
      <c r="B203">
        <v>-3.9085917080305685E-3</v>
      </c>
      <c r="C203">
        <v>-3.8841118742059748E-2</v>
      </c>
      <c r="D203">
        <v>-6.8017418217150597E-3</v>
      </c>
      <c r="E203">
        <v>2.2082554781721665E-3</v>
      </c>
    </row>
    <row r="204" spans="1:5">
      <c r="A204">
        <v>1.8364654280925721E-2</v>
      </c>
      <c r="B204">
        <v>8.1061698750231961E-3</v>
      </c>
      <c r="C204">
        <v>4.1907666925652162E-2</v>
      </c>
      <c r="D204">
        <v>5.4455069823922286E-2</v>
      </c>
      <c r="E204">
        <v>3.0817720189108777E-2</v>
      </c>
    </row>
    <row r="205" spans="1:5">
      <c r="A205">
        <v>-1.7276422764227549E-2</v>
      </c>
      <c r="B205">
        <v>3.2050162579314562E-2</v>
      </c>
      <c r="C205">
        <v>1.6289407498391386E-2</v>
      </c>
      <c r="D205">
        <v>8.9330742838245589E-2</v>
      </c>
      <c r="E205">
        <v>3.7986186841148628E-2</v>
      </c>
    </row>
    <row r="206" spans="1:5">
      <c r="A206">
        <v>5.8103748748563097E-2</v>
      </c>
      <c r="B206">
        <v>6.6075038121919144E-2</v>
      </c>
      <c r="C206">
        <v>3.2645788663062954E-2</v>
      </c>
      <c r="D206">
        <v>-1.546538602417484E-2</v>
      </c>
      <c r="E206">
        <v>3.1689480592537206E-2</v>
      </c>
    </row>
    <row r="207" spans="1:5">
      <c r="A207">
        <v>3.2108687332567963E-2</v>
      </c>
      <c r="B207">
        <v>-7.0436695977518185E-2</v>
      </c>
      <c r="C207">
        <v>-9.8971414902524705E-3</v>
      </c>
      <c r="D207">
        <v>-0.10331362674257351</v>
      </c>
      <c r="E207">
        <v>-6.3482307489683185E-2</v>
      </c>
    </row>
    <row r="208" spans="1:5">
      <c r="A208">
        <v>2.845672452473735E-2</v>
      </c>
      <c r="B208">
        <v>-1.8141360197435022E-2</v>
      </c>
      <c r="C208">
        <v>9.1732045866023664E-3</v>
      </c>
      <c r="D208">
        <v>6.738859457775008E-2</v>
      </c>
      <c r="E208">
        <v>3.2828511834587869E-2</v>
      </c>
    </row>
    <row r="209" spans="1:5">
      <c r="A209">
        <v>-2.8258565877782773E-3</v>
      </c>
      <c r="B209">
        <v>-2.8542007294679941E-2</v>
      </c>
      <c r="C209">
        <v>-5.2130757146716927E-3</v>
      </c>
      <c r="D209">
        <v>3.8973653324699389E-2</v>
      </c>
      <c r="E209">
        <v>2.1018518518518561E-2</v>
      </c>
    </row>
    <row r="210" spans="1:5">
      <c r="A210">
        <v>-1.9736842105263053E-2</v>
      </c>
      <c r="B210">
        <v>-1.8595089954727554E-3</v>
      </c>
      <c r="C210">
        <v>-2.8104365415098559E-2</v>
      </c>
      <c r="D210">
        <v>-6.6733668341708175E-3</v>
      </c>
      <c r="E210">
        <v>-2.7114674353661751E-2</v>
      </c>
    </row>
    <row r="211" spans="1:5">
      <c r="A211">
        <v>-2.3591284748309609E-2</v>
      </c>
      <c r="B211">
        <v>-1.3979576048274852E-2</v>
      </c>
      <c r="C211">
        <v>-9.1328637357295471E-4</v>
      </c>
      <c r="D211">
        <v>1.5057536929731531E-2</v>
      </c>
      <c r="E211">
        <v>1.406778112724935E-2</v>
      </c>
    </row>
    <row r="212" spans="1:5">
      <c r="A212">
        <v>1.542571202829267E-3</v>
      </c>
      <c r="B212">
        <v>4.6946897152095228E-3</v>
      </c>
      <c r="C212">
        <v>-2.2294627251310959E-2</v>
      </c>
      <c r="D212">
        <v>-4.0372792418843215E-2</v>
      </c>
      <c r="E212">
        <v>-1.2716450216450135E-2</v>
      </c>
    </row>
    <row r="213" spans="1:5">
      <c r="A213">
        <v>1.4194680810470589E-2</v>
      </c>
      <c r="B213">
        <v>6.7728951408772178E-2</v>
      </c>
      <c r="C213">
        <v>3.0976701368145912E-2</v>
      </c>
      <c r="D213">
        <v>9.6070214280065333E-3</v>
      </c>
      <c r="E213">
        <v>-3.7735849056604182E-3</v>
      </c>
    </row>
    <row r="214" spans="1:5">
      <c r="A214">
        <v>-7.3482065073293022E-3</v>
      </c>
      <c r="B214">
        <v>6.1330726138885884E-2</v>
      </c>
      <c r="C214">
        <v>7.5783740045982642E-3</v>
      </c>
      <c r="D214">
        <v>1.1861927167774383E-4</v>
      </c>
      <c r="E214">
        <v>-7.5791350869371379E-3</v>
      </c>
    </row>
    <row r="215" spans="1:5">
      <c r="A215">
        <v>1.1028989392256626E-2</v>
      </c>
      <c r="B215">
        <v>-1.3297178912238618E-2</v>
      </c>
      <c r="C215">
        <v>3.191218548575963E-2</v>
      </c>
      <c r="D215">
        <v>5.9264533422683868E-2</v>
      </c>
      <c r="E215">
        <v>4.9283154121863796E-3</v>
      </c>
    </row>
    <row r="216" spans="1:5">
      <c r="A216">
        <v>1.7733260581495051E-2</v>
      </c>
      <c r="B216">
        <v>-5.1273183174094742E-3</v>
      </c>
      <c r="C216">
        <v>2.5093159921923267E-2</v>
      </c>
      <c r="D216">
        <v>-9.9518991540885719E-3</v>
      </c>
      <c r="E216">
        <v>-4.99286733238223E-3</v>
      </c>
    </row>
    <row r="217" spans="1:5">
      <c r="A217">
        <v>-1.2698168385408649E-2</v>
      </c>
      <c r="B217">
        <v>1.515413924489089E-3</v>
      </c>
      <c r="C217">
        <v>1.2802351150202822E-2</v>
      </c>
      <c r="D217">
        <v>8.7844055885551754E-3</v>
      </c>
      <c r="E217">
        <v>1.2731376975169219E-2</v>
      </c>
    </row>
    <row r="218" spans="1:5">
      <c r="A218">
        <v>3.3202069338276441E-3</v>
      </c>
      <c r="B218">
        <v>2.6046188574405278E-3</v>
      </c>
      <c r="C218">
        <v>3.6073505071510417E-3</v>
      </c>
      <c r="D218">
        <v>4.0740896299717826E-3</v>
      </c>
      <c r="E218">
        <v>3.7157875657059169E-3</v>
      </c>
    </row>
    <row r="219" spans="1:5">
      <c r="A219">
        <v>-5.8721934369603459E-3</v>
      </c>
      <c r="B219">
        <v>1.894937985456225E-2</v>
      </c>
      <c r="C219">
        <v>6.7614479966674598E-3</v>
      </c>
      <c r="D219">
        <v>8.0312173873587731E-2</v>
      </c>
      <c r="E219">
        <v>1.452169177709327E-3</v>
      </c>
    </row>
    <row r="220" spans="1:5">
      <c r="A220">
        <v>8.6327036234128927E-3</v>
      </c>
      <c r="B220">
        <v>2.9265005827505797E-2</v>
      </c>
      <c r="C220">
        <v>1.430134671014854E-2</v>
      </c>
      <c r="D220">
        <v>1.9238773528187536E-2</v>
      </c>
      <c r="E220">
        <v>1.5390286609529119E-2</v>
      </c>
    </row>
    <row r="221" spans="1:5">
      <c r="A221">
        <v>-1.1707093121126468E-2</v>
      </c>
      <c r="B221">
        <v>6.230301253390017E-3</v>
      </c>
      <c r="C221">
        <v>1.2194720738701668E-2</v>
      </c>
      <c r="D221">
        <v>7.8938176737687882E-2</v>
      </c>
      <c r="E221">
        <v>-1.6050054406964134E-2</v>
      </c>
    </row>
    <row r="222" spans="1:5">
      <c r="A222">
        <v>-2.3462601808264115E-2</v>
      </c>
      <c r="B222">
        <v>2.7227979030785523E-2</v>
      </c>
      <c r="C222">
        <v>5.4026042757753835E-3</v>
      </c>
      <c r="D222">
        <v>-1.100473746545607E-2</v>
      </c>
      <c r="E222">
        <v>2.7293898462971547E-2</v>
      </c>
    </row>
    <row r="223" spans="1:5">
      <c r="A223">
        <v>1.3134486543775244E-2</v>
      </c>
      <c r="B223">
        <v>1.0076907720242227E-2</v>
      </c>
      <c r="C223">
        <v>1.5575661209773179E-2</v>
      </c>
      <c r="D223">
        <v>-2.3845079242738088E-2</v>
      </c>
      <c r="E223">
        <v>1.2640316951231103E-2</v>
      </c>
    </row>
    <row r="224" spans="1:5">
      <c r="A224">
        <v>-7.4761439627320193E-3</v>
      </c>
      <c r="B224">
        <v>2.4684142338077249E-2</v>
      </c>
      <c r="C224">
        <v>3.8007345762239061E-2</v>
      </c>
      <c r="D224">
        <v>-1.354305265158715E-2</v>
      </c>
      <c r="E224">
        <v>-3.5717642635587758E-3</v>
      </c>
    </row>
    <row r="225" spans="1:5">
      <c r="A225">
        <v>-1.4367177664222665E-2</v>
      </c>
      <c r="B225">
        <v>-3.4143725420092919E-2</v>
      </c>
      <c r="C225">
        <v>-2.443560000453561E-2</v>
      </c>
      <c r="D225">
        <v>-5.0789354984212859E-2</v>
      </c>
      <c r="E225">
        <v>-2.6178489702517078E-2</v>
      </c>
    </row>
    <row r="226" spans="1:5">
      <c r="A226">
        <v>2.1136612848338222E-2</v>
      </c>
      <c r="B226">
        <v>1.4169712121067546E-2</v>
      </c>
      <c r="C226">
        <v>-2.1723634635618739E-3</v>
      </c>
      <c r="D226">
        <v>1.3346741018374539E-2</v>
      </c>
      <c r="E226">
        <v>1.458023774145621E-2</v>
      </c>
    </row>
    <row r="227" spans="1:5">
      <c r="A227">
        <v>5.7753069631644054E-2</v>
      </c>
      <c r="B227">
        <v>-3.3022697914744381E-2</v>
      </c>
      <c r="C227">
        <v>1.3822639670974619E-3</v>
      </c>
      <c r="D227">
        <v>-1.4548894193955105E-2</v>
      </c>
      <c r="E227">
        <v>-1.7876687340386842E-2</v>
      </c>
    </row>
    <row r="228" spans="1:5">
      <c r="A228">
        <v>-8.3919437340149812E-4</v>
      </c>
      <c r="B228">
        <v>-2.9805710921400903E-3</v>
      </c>
      <c r="C228">
        <v>-1.5504567712574316E-2</v>
      </c>
      <c r="D228">
        <v>8.7644522829707944E-2</v>
      </c>
      <c r="E228">
        <v>2.2952043291659018E-2</v>
      </c>
    </row>
    <row r="229" spans="1:5">
      <c r="A229">
        <v>1.4513905781237405E-2</v>
      </c>
      <c r="B229">
        <v>1.4446227929373929E-2</v>
      </c>
      <c r="C229">
        <v>-0.10091862727400358</v>
      </c>
      <c r="D229">
        <v>-1.1333914559720945E-2</v>
      </c>
      <c r="E229">
        <v>-2.2342208154906822E-3</v>
      </c>
    </row>
    <row r="230" spans="1:5">
      <c r="A230">
        <v>1.1316113161131574E-2</v>
      </c>
      <c r="B230">
        <v>4.2171949093771669E-3</v>
      </c>
      <c r="C230">
        <v>-2.3034340861215929E-2</v>
      </c>
      <c r="D230">
        <v>-5.8088875980262988E-4</v>
      </c>
      <c r="E230">
        <v>-1.7380168313208925E-2</v>
      </c>
    </row>
    <row r="231" spans="1:5">
      <c r="A231">
        <v>1.1904273223595464E-3</v>
      </c>
      <c r="B231">
        <v>-3.9506728475628937E-2</v>
      </c>
      <c r="C231">
        <v>-1.561475251726396E-2</v>
      </c>
      <c r="D231">
        <v>1.868928448148335E-2</v>
      </c>
      <c r="E231">
        <v>-8.9747076420994155E-3</v>
      </c>
    </row>
    <row r="232" spans="1:5">
      <c r="A232">
        <v>1.2931392931392893E-2</v>
      </c>
      <c r="B232">
        <v>2.376608057797925E-2</v>
      </c>
      <c r="C232">
        <v>-1.2721386402590018E-2</v>
      </c>
      <c r="D232">
        <v>-6.3210505684044805E-3</v>
      </c>
      <c r="E232">
        <v>2.7203482045697725E-4</v>
      </c>
    </row>
    <row r="233" spans="1:5">
      <c r="A233">
        <v>5.8245964386756984E-4</v>
      </c>
      <c r="B233">
        <v>1.7544188663322271E-2</v>
      </c>
      <c r="C233">
        <v>7.7727665291238849E-3</v>
      </c>
      <c r="D233">
        <v>-1.9835742759713729E-2</v>
      </c>
      <c r="E233">
        <v>1.509572901325466E-2</v>
      </c>
    </row>
    <row r="234" spans="1:5">
      <c r="A234">
        <v>-9.0699208443271763E-3</v>
      </c>
      <c r="B234">
        <v>8.9785800787162834E-3</v>
      </c>
      <c r="C234">
        <v>3.4375511540351007E-3</v>
      </c>
      <c r="D234">
        <v>2.0237161897295155E-2</v>
      </c>
      <c r="E234">
        <v>-1.5623564010659114E-3</v>
      </c>
    </row>
    <row r="235" spans="1:5">
      <c r="A235">
        <v>2.9235795816183689E-2</v>
      </c>
      <c r="B235">
        <v>7.5017396028940059E-3</v>
      </c>
      <c r="C235">
        <v>-4.6960505256701457E-3</v>
      </c>
      <c r="D235">
        <v>1.8160047894631742E-2</v>
      </c>
      <c r="E235">
        <v>3.5971223021581474E-3</v>
      </c>
    </row>
    <row r="236" spans="1:5">
      <c r="A236">
        <v>-6.0312104597217133E-3</v>
      </c>
      <c r="B236">
        <v>2.9558153282865463E-4</v>
      </c>
      <c r="C236">
        <v>2.2960559210203714E-2</v>
      </c>
      <c r="D236">
        <v>2.6318484383000558E-2</v>
      </c>
      <c r="E236">
        <v>-1.5655216870798833E-3</v>
      </c>
    </row>
    <row r="237" spans="1:5">
      <c r="A237">
        <v>1.4244770500919787E-2</v>
      </c>
      <c r="B237">
        <v>1.0443763608686402E-2</v>
      </c>
      <c r="C237">
        <v>-3.5364340630890958E-3</v>
      </c>
      <c r="D237">
        <v>-3.8546743464776233E-2</v>
      </c>
      <c r="E237">
        <v>-6.0411899313500316E-3</v>
      </c>
    </row>
    <row r="238" spans="1:5">
      <c r="A238">
        <v>5.2461836164264964E-3</v>
      </c>
      <c r="B238">
        <v>-6.5943742044159946E-3</v>
      </c>
      <c r="C238">
        <v>-1.7044690698880333E-2</v>
      </c>
      <c r="D238">
        <v>-1.4219159468116062E-2</v>
      </c>
      <c r="E238">
        <v>-1.2830938827143801E-2</v>
      </c>
    </row>
    <row r="239" spans="1:5">
      <c r="A239">
        <v>-1.2316840093438097E-2</v>
      </c>
      <c r="B239">
        <v>-1.1532421335452635E-2</v>
      </c>
      <c r="C239">
        <v>-5.758267913011767E-4</v>
      </c>
      <c r="D239">
        <v>3.6362721923250997E-2</v>
      </c>
      <c r="E239">
        <v>-2.7100271002705918E-4</v>
      </c>
    </row>
    <row r="240" spans="1:5">
      <c r="A240">
        <v>-1.2739935451001438E-4</v>
      </c>
      <c r="B240">
        <v>1.6375157453437157E-2</v>
      </c>
      <c r="C240">
        <v>-3.4524294874170747E-2</v>
      </c>
      <c r="D240">
        <v>1.1600101755278532E-2</v>
      </c>
      <c r="E240">
        <v>-3.3947115804171472E-2</v>
      </c>
    </row>
    <row r="241" spans="1:5">
      <c r="A241">
        <v>-1.862888101687844E-2</v>
      </c>
      <c r="B241">
        <v>-2.0300695216383745E-2</v>
      </c>
      <c r="C241">
        <v>-3.9180948141553561E-2</v>
      </c>
      <c r="D241">
        <v>-2.009173397148268E-2</v>
      </c>
      <c r="E241">
        <v>2.2121131032022286E-2</v>
      </c>
    </row>
    <row r="242" spans="1:5">
      <c r="A242">
        <v>-2.471243344307612E-2</v>
      </c>
      <c r="B242">
        <v>-1.6819486894507768E-2</v>
      </c>
      <c r="C242">
        <v>-1.5116309656375736E-2</v>
      </c>
      <c r="D242">
        <v>1.6366860907017965E-2</v>
      </c>
      <c r="E242">
        <v>-8.9285714285715495E-3</v>
      </c>
    </row>
    <row r="243" spans="1:5">
      <c r="A243">
        <v>-6.0598715307235481E-3</v>
      </c>
      <c r="B243">
        <v>7.699846003079938E-3</v>
      </c>
      <c r="C243">
        <v>-1.6107429551880487E-3</v>
      </c>
      <c r="D243">
        <v>1.7258007207756414E-3</v>
      </c>
      <c r="E243">
        <v>1.4802188929756885E-2</v>
      </c>
    </row>
    <row r="244" spans="1:5">
      <c r="A244">
        <v>-6.8608570052960637E-3</v>
      </c>
      <c r="B244">
        <v>-5.9654135896388535E-3</v>
      </c>
      <c r="C244">
        <v>5.1828517123648976E-3</v>
      </c>
      <c r="D244">
        <v>2.247249325306205E-2</v>
      </c>
      <c r="E244">
        <v>-1.4237707817474275E-2</v>
      </c>
    </row>
    <row r="245" spans="1:5">
      <c r="A245">
        <v>2.983224526898615E-2</v>
      </c>
      <c r="B245">
        <v>4.7146257346869315E-2</v>
      </c>
      <c r="C245">
        <v>-1.7413408497466639E-2</v>
      </c>
      <c r="D245">
        <v>-1.3475691924951468E-3</v>
      </c>
      <c r="E245">
        <v>3.109327983951847E-2</v>
      </c>
    </row>
    <row r="246" spans="1:5">
      <c r="A246">
        <v>2.764213833807478E-2</v>
      </c>
      <c r="B246">
        <v>1.304005511268576E-2</v>
      </c>
      <c r="C246">
        <v>-6.2806622618976331E-3</v>
      </c>
      <c r="D246">
        <v>7.2040091877219577E-3</v>
      </c>
      <c r="E246">
        <v>2.5596489624279679E-3</v>
      </c>
    </row>
    <row r="247" spans="1:5">
      <c r="A247">
        <v>-9.9630065579284811E-3</v>
      </c>
      <c r="B247">
        <v>-1.8664047151277013E-3</v>
      </c>
      <c r="C247">
        <v>2.7699290078762307E-2</v>
      </c>
      <c r="D247">
        <v>1.52639389442442E-2</v>
      </c>
      <c r="E247">
        <v>4.7763387526408062E-3</v>
      </c>
    </row>
    <row r="248" spans="1:5">
      <c r="A248">
        <v>-1.6333788198321132E-2</v>
      </c>
      <c r="B248">
        <v>-1.1861544136203987E-2</v>
      </c>
      <c r="C248">
        <v>1.9140607424072056E-2</v>
      </c>
      <c r="D248">
        <v>-7.8350949150760331E-3</v>
      </c>
      <c r="E248">
        <v>6.3782584581254312E-3</v>
      </c>
    </row>
    <row r="249" spans="1:5">
      <c r="A249">
        <v>-1.5630724142141752E-2</v>
      </c>
      <c r="B249">
        <v>-9.5181325231704032E-3</v>
      </c>
      <c r="C249">
        <v>1.3165452539637643E-2</v>
      </c>
      <c r="D249">
        <v>-5.9589148502429898E-3</v>
      </c>
      <c r="E249">
        <v>-1.2415555961292802E-2</v>
      </c>
    </row>
    <row r="250" spans="1:5">
      <c r="A250">
        <v>-1.8733024444799524E-2</v>
      </c>
      <c r="B250">
        <v>-2.3993844363745454E-2</v>
      </c>
      <c r="C250">
        <v>-3.3439649610627334E-3</v>
      </c>
      <c r="D250">
        <v>2.2719982893189352E-2</v>
      </c>
      <c r="E250">
        <v>6.3389986219569046E-3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8F3F-AA11-47C5-A5FC-9F8FDBBCFFFF}">
  <dimension ref="A1:F242"/>
  <sheetViews>
    <sheetView workbookViewId="0">
      <selection activeCell="F11" sqref="F11"/>
    </sheetView>
  </sheetViews>
  <sheetFormatPr defaultRowHeight="14.4"/>
  <cols>
    <col min="1" max="1" width="15.109375" customWidth="1"/>
    <col min="2" max="2" width="15.88671875" customWidth="1"/>
    <col min="3" max="3" width="15.33203125" customWidth="1"/>
    <col min="5" max="5" width="13" customWidth="1"/>
    <col min="6" max="6" width="29.33203125" bestFit="1" customWidth="1"/>
  </cols>
  <sheetData>
    <row r="1" spans="1:6" ht="27" customHeight="1">
      <c r="A1" s="35" t="s">
        <v>38</v>
      </c>
      <c r="B1" s="36"/>
    </row>
    <row r="2" spans="1:6">
      <c r="A2" s="17" t="s">
        <v>39</v>
      </c>
      <c r="B2" s="18" t="s">
        <v>40</v>
      </c>
    </row>
    <row r="3" spans="1:6">
      <c r="A3" s="15">
        <v>45384</v>
      </c>
      <c r="B3" s="16">
        <v>6.9798999999999998</v>
      </c>
    </row>
    <row r="4" spans="1:6">
      <c r="A4" s="15">
        <v>45385</v>
      </c>
      <c r="B4" s="16">
        <v>6.8803000000000001</v>
      </c>
    </row>
    <row r="5" spans="1:6">
      <c r="A5" s="15">
        <v>45386</v>
      </c>
      <c r="B5" s="16">
        <v>6.9569000000000001</v>
      </c>
    </row>
    <row r="6" spans="1:6">
      <c r="A6" s="15">
        <v>45387</v>
      </c>
      <c r="B6" s="16">
        <v>6.8446999999999996</v>
      </c>
    </row>
    <row r="7" spans="1:6">
      <c r="A7" s="15">
        <v>45390</v>
      </c>
      <c r="B7" s="16">
        <v>6.8282999999999996</v>
      </c>
      <c r="E7" s="6" t="s">
        <v>41</v>
      </c>
      <c r="F7" s="19" t="s">
        <v>42</v>
      </c>
    </row>
    <row r="8" spans="1:6">
      <c r="A8" s="15">
        <v>45392</v>
      </c>
      <c r="B8" s="16">
        <v>6.9916999999999998</v>
      </c>
      <c r="E8" t="s">
        <v>43</v>
      </c>
      <c r="F8">
        <f>AVERAGE(B3:B242)</f>
        <v>6.6622799999999982</v>
      </c>
    </row>
    <row r="9" spans="1:6">
      <c r="A9" s="15">
        <v>45394</v>
      </c>
      <c r="B9" s="16">
        <v>6.9557000000000002</v>
      </c>
      <c r="E9" t="s">
        <v>44</v>
      </c>
      <c r="F9">
        <v>6.6622799999999996E-2</v>
      </c>
    </row>
    <row r="10" spans="1:6">
      <c r="A10" s="15">
        <v>45397</v>
      </c>
      <c r="B10" s="16">
        <v>6.9405999999999999</v>
      </c>
    </row>
    <row r="11" spans="1:6">
      <c r="A11" s="15">
        <v>45398</v>
      </c>
      <c r="B11" s="16">
        <v>7.0064000000000002</v>
      </c>
    </row>
    <row r="12" spans="1:6">
      <c r="A12" s="15">
        <v>45400</v>
      </c>
      <c r="B12" s="16">
        <v>7.0304000000000002</v>
      </c>
    </row>
    <row r="13" spans="1:6">
      <c r="A13" s="15">
        <v>45401</v>
      </c>
      <c r="B13" s="16">
        <v>7.0209000000000001</v>
      </c>
    </row>
    <row r="14" spans="1:6">
      <c r="A14" s="15">
        <v>45404</v>
      </c>
      <c r="B14" s="16">
        <v>7.0366</v>
      </c>
    </row>
    <row r="15" spans="1:6">
      <c r="A15" s="15">
        <v>45405</v>
      </c>
      <c r="B15" s="16">
        <v>7.0198999999999998</v>
      </c>
    </row>
    <row r="16" spans="1:6">
      <c r="A16" s="15">
        <v>45406</v>
      </c>
      <c r="B16" s="16">
        <v>7.0523999999999996</v>
      </c>
    </row>
    <row r="17" spans="1:2">
      <c r="A17" s="15">
        <v>45407</v>
      </c>
      <c r="B17" s="16">
        <v>7.0229999999999997</v>
      </c>
    </row>
    <row r="18" spans="1:2">
      <c r="A18" s="15">
        <v>45408</v>
      </c>
      <c r="B18" s="16">
        <v>6.9402999999999997</v>
      </c>
    </row>
    <row r="19" spans="1:2">
      <c r="A19" s="15">
        <v>45411</v>
      </c>
      <c r="B19" s="16">
        <v>6.9715999999999996</v>
      </c>
    </row>
    <row r="20" spans="1:2">
      <c r="A20" s="15">
        <v>45412</v>
      </c>
      <c r="B20" s="16">
        <v>6.9046000000000003</v>
      </c>
    </row>
    <row r="21" spans="1:2">
      <c r="A21" s="15">
        <v>45414</v>
      </c>
      <c r="B21" s="16">
        <v>7.0134999999999996</v>
      </c>
    </row>
    <row r="22" spans="1:2">
      <c r="A22" s="15">
        <v>45415</v>
      </c>
      <c r="B22" s="16">
        <v>6.9044999999999996</v>
      </c>
    </row>
    <row r="23" spans="1:2">
      <c r="A23" s="15">
        <v>45418</v>
      </c>
      <c r="B23" s="16">
        <v>6.8545999999999996</v>
      </c>
    </row>
    <row r="24" spans="1:2">
      <c r="A24" s="15">
        <v>45419</v>
      </c>
      <c r="B24" s="16">
        <v>6.7504999999999997</v>
      </c>
    </row>
    <row r="25" spans="1:2">
      <c r="A25" s="15">
        <v>45420</v>
      </c>
      <c r="B25" s="16">
        <v>7.0698999999999996</v>
      </c>
    </row>
    <row r="26" spans="1:2">
      <c r="A26" s="15">
        <v>45421</v>
      </c>
      <c r="B26" s="16">
        <v>7.0278999999999998</v>
      </c>
    </row>
    <row r="27" spans="1:2">
      <c r="A27" s="15">
        <v>45422</v>
      </c>
      <c r="B27" s="16">
        <v>6.9417999999999997</v>
      </c>
    </row>
    <row r="28" spans="1:2">
      <c r="A28" s="15">
        <v>45425</v>
      </c>
      <c r="B28" s="16">
        <v>6.7648000000000001</v>
      </c>
    </row>
    <row r="29" spans="1:2">
      <c r="A29" s="15">
        <v>45426</v>
      </c>
      <c r="B29" s="16">
        <v>6.9566999999999997</v>
      </c>
    </row>
    <row r="30" spans="1:2">
      <c r="A30" s="15">
        <v>45427</v>
      </c>
      <c r="B30" s="16">
        <v>7.0476000000000001</v>
      </c>
    </row>
    <row r="31" spans="1:2">
      <c r="A31" s="15">
        <v>45428</v>
      </c>
      <c r="B31" s="16">
        <v>7.0205000000000002</v>
      </c>
    </row>
    <row r="32" spans="1:2">
      <c r="A32" s="15">
        <v>45429</v>
      </c>
      <c r="B32" s="16">
        <v>7.0175999999999998</v>
      </c>
    </row>
    <row r="33" spans="1:2">
      <c r="A33" s="15">
        <v>45433</v>
      </c>
      <c r="B33" s="16">
        <v>6.9265999999999996</v>
      </c>
    </row>
    <row r="34" spans="1:2">
      <c r="A34" s="15">
        <v>45434</v>
      </c>
      <c r="B34" s="16">
        <v>6.9657</v>
      </c>
    </row>
    <row r="35" spans="1:2">
      <c r="A35" s="15">
        <v>45436</v>
      </c>
      <c r="B35" s="16">
        <v>6.9683000000000002</v>
      </c>
    </row>
    <row r="36" spans="1:2">
      <c r="A36" s="15">
        <v>45439</v>
      </c>
      <c r="B36" s="16">
        <v>6.9283000000000001</v>
      </c>
    </row>
    <row r="37" spans="1:2">
      <c r="A37" s="15">
        <v>45440</v>
      </c>
      <c r="B37" s="16">
        <v>6.9638</v>
      </c>
    </row>
    <row r="38" spans="1:2">
      <c r="A38" s="15">
        <v>45441</v>
      </c>
      <c r="B38" s="16">
        <v>6.9904000000000002</v>
      </c>
    </row>
    <row r="39" spans="1:2">
      <c r="A39" s="15">
        <v>45442</v>
      </c>
      <c r="B39" s="16">
        <v>6.9996999999999998</v>
      </c>
    </row>
    <row r="40" spans="1:2">
      <c r="A40" s="15">
        <v>45443</v>
      </c>
      <c r="B40" s="16">
        <v>6.9584999999999999</v>
      </c>
    </row>
    <row r="41" spans="1:2">
      <c r="A41" s="15">
        <v>45446</v>
      </c>
      <c r="B41" s="16">
        <v>6.9790999999999999</v>
      </c>
    </row>
    <row r="42" spans="1:2">
      <c r="A42" s="15">
        <v>45447</v>
      </c>
      <c r="B42" s="16">
        <v>6.9839000000000002</v>
      </c>
    </row>
    <row r="43" spans="1:2">
      <c r="A43" s="15">
        <v>45448</v>
      </c>
      <c r="B43" s="16">
        <v>6.9916</v>
      </c>
    </row>
    <row r="44" spans="1:2">
      <c r="A44" s="15">
        <v>45449</v>
      </c>
      <c r="B44" s="16">
        <v>6.9650999999999996</v>
      </c>
    </row>
    <row r="45" spans="1:2">
      <c r="A45" s="15">
        <v>45450</v>
      </c>
      <c r="B45" s="16">
        <v>6.9047000000000001</v>
      </c>
    </row>
    <row r="46" spans="1:2">
      <c r="A46" s="15">
        <v>45453</v>
      </c>
      <c r="B46" s="16">
        <v>6.8902999999999999</v>
      </c>
    </row>
    <row r="47" spans="1:2">
      <c r="A47" s="15">
        <v>45454</v>
      </c>
      <c r="B47" s="16">
        <v>6.9603000000000002</v>
      </c>
    </row>
    <row r="48" spans="1:2">
      <c r="A48" s="15">
        <v>45455</v>
      </c>
      <c r="B48" s="16">
        <v>6.9637000000000002</v>
      </c>
    </row>
    <row r="49" spans="1:2">
      <c r="A49" s="15">
        <v>45456</v>
      </c>
      <c r="B49" s="16">
        <v>6.9562999999999997</v>
      </c>
    </row>
    <row r="50" spans="1:2">
      <c r="A50" s="15">
        <v>45457</v>
      </c>
      <c r="B50" s="16">
        <v>6.9641000000000002</v>
      </c>
    </row>
    <row r="51" spans="1:2">
      <c r="A51" s="15">
        <v>45461</v>
      </c>
      <c r="B51" s="16">
        <v>6.9363999999999999</v>
      </c>
    </row>
    <row r="52" spans="1:2">
      <c r="A52" s="15">
        <v>45462</v>
      </c>
      <c r="B52" s="16">
        <v>6.9478999999999997</v>
      </c>
    </row>
    <row r="53" spans="1:2">
      <c r="A53" s="15">
        <v>45463</v>
      </c>
      <c r="B53" s="16">
        <v>6.9306999999999999</v>
      </c>
    </row>
    <row r="54" spans="1:2">
      <c r="A54" s="15">
        <v>45464</v>
      </c>
      <c r="B54" s="16">
        <v>6.92</v>
      </c>
    </row>
    <row r="55" spans="1:2">
      <c r="A55" s="15">
        <v>45467</v>
      </c>
      <c r="B55" s="16">
        <v>6.9196999999999997</v>
      </c>
    </row>
    <row r="56" spans="1:2">
      <c r="A56" s="15">
        <v>45468</v>
      </c>
      <c r="B56" s="16">
        <v>6.7920999999999996</v>
      </c>
    </row>
    <row r="57" spans="1:2">
      <c r="A57" s="15">
        <v>45469</v>
      </c>
      <c r="B57" s="16">
        <v>6.8742999999999999</v>
      </c>
    </row>
    <row r="58" spans="1:2">
      <c r="A58" s="15">
        <v>45470</v>
      </c>
      <c r="B58" s="16">
        <v>6.8810000000000002</v>
      </c>
    </row>
    <row r="59" spans="1:2">
      <c r="A59" s="15">
        <v>45471</v>
      </c>
      <c r="B59" s="16">
        <v>6.7785000000000002</v>
      </c>
    </row>
    <row r="60" spans="1:2">
      <c r="A60" s="15">
        <v>45474</v>
      </c>
      <c r="B60" s="16">
        <v>6.8372999999999999</v>
      </c>
    </row>
    <row r="61" spans="1:2">
      <c r="A61" s="15">
        <v>45475</v>
      </c>
      <c r="B61" s="16">
        <v>6.9055999999999997</v>
      </c>
    </row>
    <row r="62" spans="1:2">
      <c r="A62" s="15">
        <v>45476</v>
      </c>
      <c r="B62" s="16">
        <v>6.8815999999999997</v>
      </c>
    </row>
    <row r="63" spans="1:2">
      <c r="A63" s="15">
        <v>45477</v>
      </c>
      <c r="B63" s="16">
        <v>6.8948</v>
      </c>
    </row>
    <row r="64" spans="1:2">
      <c r="A64" s="15">
        <v>45478</v>
      </c>
      <c r="B64" s="16">
        <v>6.9029999999999996</v>
      </c>
    </row>
    <row r="65" spans="1:2">
      <c r="A65" s="15">
        <v>45481</v>
      </c>
      <c r="B65" s="16">
        <v>6.8461999999999996</v>
      </c>
    </row>
    <row r="66" spans="1:2">
      <c r="A66" s="15">
        <v>45482</v>
      </c>
      <c r="B66" s="16">
        <v>6.7515000000000001</v>
      </c>
    </row>
    <row r="67" spans="1:2">
      <c r="A67" s="15">
        <v>45483</v>
      </c>
      <c r="B67" s="16">
        <v>6.8567</v>
      </c>
    </row>
    <row r="68" spans="1:2">
      <c r="A68" s="15">
        <v>45484</v>
      </c>
      <c r="B68" s="16">
        <v>6.7403000000000004</v>
      </c>
    </row>
    <row r="69" spans="1:2">
      <c r="A69" s="15">
        <v>45485</v>
      </c>
      <c r="B69" s="16">
        <v>6.8556999999999997</v>
      </c>
    </row>
    <row r="70" spans="1:2">
      <c r="A70" s="15">
        <v>45488</v>
      </c>
      <c r="B70" s="16">
        <v>6.7827000000000002</v>
      </c>
    </row>
    <row r="71" spans="1:2">
      <c r="A71" s="15">
        <v>45489</v>
      </c>
      <c r="B71" s="16">
        <v>6.6798000000000002</v>
      </c>
    </row>
    <row r="72" spans="1:2">
      <c r="A72" s="15">
        <v>45491</v>
      </c>
      <c r="B72" s="16">
        <v>6.8230000000000004</v>
      </c>
    </row>
    <row r="73" spans="1:2">
      <c r="A73" s="15">
        <v>45492</v>
      </c>
      <c r="B73" s="16">
        <v>6.7950999999999997</v>
      </c>
    </row>
    <row r="74" spans="1:2">
      <c r="A74" s="15">
        <v>45495</v>
      </c>
      <c r="B74" s="16">
        <v>6.7389000000000001</v>
      </c>
    </row>
    <row r="75" spans="1:2">
      <c r="A75" s="15">
        <v>45496</v>
      </c>
      <c r="B75" s="16">
        <v>6.7576999999999998</v>
      </c>
    </row>
    <row r="76" spans="1:2">
      <c r="A76" s="15">
        <v>45497</v>
      </c>
      <c r="B76" s="16">
        <v>6.7805999999999997</v>
      </c>
    </row>
    <row r="77" spans="1:2">
      <c r="A77" s="15">
        <v>45498</v>
      </c>
      <c r="B77" s="16">
        <v>6.6696</v>
      </c>
    </row>
    <row r="78" spans="1:2">
      <c r="A78" s="15">
        <v>45499</v>
      </c>
      <c r="B78" s="16">
        <v>6.6482999999999999</v>
      </c>
    </row>
    <row r="79" spans="1:2">
      <c r="A79" s="15">
        <v>45503</v>
      </c>
      <c r="B79" s="16">
        <v>6.7111999999999998</v>
      </c>
    </row>
    <row r="80" spans="1:2">
      <c r="A80" s="15">
        <v>45504</v>
      </c>
      <c r="B80" s="16">
        <v>6.7671999999999999</v>
      </c>
    </row>
    <row r="81" spans="1:2">
      <c r="A81" s="15">
        <v>45505</v>
      </c>
      <c r="B81" s="16">
        <v>6.6056999999999997</v>
      </c>
    </row>
    <row r="82" spans="1:2">
      <c r="A82" s="15">
        <v>45506</v>
      </c>
      <c r="B82" s="16">
        <v>6.585</v>
      </c>
    </row>
    <row r="83" spans="1:2">
      <c r="A83" s="15">
        <v>45509</v>
      </c>
      <c r="B83" s="16">
        <v>6.6898</v>
      </c>
    </row>
    <row r="84" spans="1:2">
      <c r="A84" s="15">
        <v>45510</v>
      </c>
      <c r="B84" s="16">
        <v>6.6189</v>
      </c>
    </row>
    <row r="85" spans="1:2">
      <c r="A85" s="15">
        <v>45511</v>
      </c>
      <c r="B85" s="16">
        <v>6.6188000000000002</v>
      </c>
    </row>
    <row r="86" spans="1:2">
      <c r="A86" s="15">
        <v>45512</v>
      </c>
      <c r="B86" s="16">
        <v>6.7087000000000003</v>
      </c>
    </row>
    <row r="87" spans="1:2">
      <c r="A87" s="15">
        <v>45513</v>
      </c>
      <c r="B87" s="16">
        <v>6.6657000000000002</v>
      </c>
    </row>
    <row r="88" spans="1:2">
      <c r="A88" s="15">
        <v>45516</v>
      </c>
      <c r="B88" s="16">
        <v>6.6501000000000001</v>
      </c>
    </row>
    <row r="89" spans="1:2">
      <c r="A89" s="15">
        <v>45517</v>
      </c>
      <c r="B89" s="16">
        <v>6.6426999999999996</v>
      </c>
    </row>
    <row r="90" spans="1:2">
      <c r="A90" s="15">
        <v>45518</v>
      </c>
      <c r="B90" s="16">
        <v>6.6797000000000004</v>
      </c>
    </row>
    <row r="91" spans="1:2">
      <c r="A91" s="15">
        <v>45520</v>
      </c>
      <c r="B91" s="16">
        <v>6.6611000000000002</v>
      </c>
    </row>
    <row r="92" spans="1:2">
      <c r="A92" s="15">
        <v>45523</v>
      </c>
      <c r="B92" s="16">
        <v>6.6997</v>
      </c>
    </row>
    <row r="93" spans="1:2">
      <c r="A93" s="15">
        <v>45524</v>
      </c>
      <c r="B93" s="16">
        <v>6.6555</v>
      </c>
    </row>
    <row r="94" spans="1:2">
      <c r="A94" s="15">
        <v>45525</v>
      </c>
      <c r="B94" s="16">
        <v>6.6981000000000002</v>
      </c>
    </row>
    <row r="95" spans="1:2">
      <c r="A95" s="15">
        <v>45526</v>
      </c>
      <c r="B95" s="16">
        <v>6.6688000000000001</v>
      </c>
    </row>
    <row r="96" spans="1:2">
      <c r="A96" s="15">
        <v>45527</v>
      </c>
      <c r="B96" s="16">
        <v>6.6138000000000003</v>
      </c>
    </row>
    <row r="97" spans="1:2">
      <c r="A97" s="15">
        <v>45530</v>
      </c>
      <c r="B97" s="16">
        <v>6.6115000000000004</v>
      </c>
    </row>
    <row r="98" spans="1:2">
      <c r="A98" s="15">
        <v>45531</v>
      </c>
      <c r="B98" s="16">
        <v>6.6266999999999996</v>
      </c>
    </row>
    <row r="99" spans="1:2">
      <c r="A99" s="15">
        <v>45532</v>
      </c>
      <c r="B99" s="16">
        <v>6.6489000000000003</v>
      </c>
    </row>
    <row r="100" spans="1:2">
      <c r="A100" s="15">
        <v>45533</v>
      </c>
      <c r="B100" s="16">
        <v>6.6193999999999997</v>
      </c>
    </row>
    <row r="101" spans="1:2">
      <c r="A101" s="15">
        <v>45534</v>
      </c>
      <c r="B101" s="16">
        <v>6.6356999999999999</v>
      </c>
    </row>
    <row r="102" spans="1:2">
      <c r="A102" s="15">
        <v>45537</v>
      </c>
      <c r="B102" s="16">
        <v>6.6897000000000002</v>
      </c>
    </row>
    <row r="103" spans="1:2">
      <c r="A103" s="15">
        <v>45538</v>
      </c>
      <c r="B103" s="16">
        <v>6.6623999999999999</v>
      </c>
    </row>
    <row r="104" spans="1:2">
      <c r="A104" s="15">
        <v>45539</v>
      </c>
      <c r="B104" s="16">
        <v>6.6684999999999999</v>
      </c>
    </row>
    <row r="105" spans="1:2">
      <c r="A105" s="15">
        <v>45540</v>
      </c>
      <c r="B105" s="16">
        <v>6.6595000000000004</v>
      </c>
    </row>
    <row r="106" spans="1:2">
      <c r="A106" s="15">
        <v>45541</v>
      </c>
      <c r="B106" s="16">
        <v>6.6139999999999999</v>
      </c>
    </row>
    <row r="107" spans="1:2">
      <c r="A107" s="15">
        <v>45544</v>
      </c>
      <c r="B107" s="16">
        <v>6.6288999999999998</v>
      </c>
    </row>
    <row r="108" spans="1:2">
      <c r="A108" s="15">
        <v>45545</v>
      </c>
      <c r="B108" s="16">
        <v>6.6218000000000004</v>
      </c>
    </row>
    <row r="109" spans="1:2">
      <c r="A109" s="15">
        <v>45546</v>
      </c>
      <c r="B109" s="16">
        <v>6.6471</v>
      </c>
    </row>
    <row r="110" spans="1:2">
      <c r="A110" s="15">
        <v>45547</v>
      </c>
      <c r="B110" s="16">
        <v>6.6714000000000002</v>
      </c>
    </row>
    <row r="111" spans="1:2">
      <c r="A111" s="15">
        <v>45548</v>
      </c>
      <c r="B111" s="16">
        <v>6.6383000000000001</v>
      </c>
    </row>
    <row r="112" spans="1:2">
      <c r="A112" s="15">
        <v>45551</v>
      </c>
      <c r="B112" s="16">
        <v>6.5989000000000004</v>
      </c>
    </row>
    <row r="113" spans="1:2">
      <c r="A113" s="15">
        <v>45552</v>
      </c>
      <c r="B113" s="16">
        <v>6.5772000000000004</v>
      </c>
    </row>
    <row r="114" spans="1:2">
      <c r="A114" s="15">
        <v>45554</v>
      </c>
      <c r="B114" s="16">
        <v>6.5579000000000001</v>
      </c>
    </row>
    <row r="115" spans="1:2">
      <c r="A115" s="15">
        <v>45555</v>
      </c>
      <c r="B115" s="16">
        <v>6.5552999999999999</v>
      </c>
    </row>
    <row r="116" spans="1:2">
      <c r="A116" s="15">
        <v>45558</v>
      </c>
      <c r="B116" s="16">
        <v>6.5446999999999997</v>
      </c>
    </row>
    <row r="117" spans="1:2">
      <c r="A117" s="15">
        <v>45559</v>
      </c>
      <c r="B117" s="16">
        <v>6.5164999999999997</v>
      </c>
    </row>
    <row r="118" spans="1:2">
      <c r="A118" s="15">
        <v>45560</v>
      </c>
      <c r="B118" s="16">
        <v>6.5347999999999997</v>
      </c>
    </row>
    <row r="119" spans="1:2">
      <c r="A119" s="15">
        <v>45561</v>
      </c>
      <c r="B119" s="16">
        <v>6.5267999999999997</v>
      </c>
    </row>
    <row r="120" spans="1:2">
      <c r="A120" s="15">
        <v>45562</v>
      </c>
      <c r="B120" s="16">
        <v>6.5171000000000001</v>
      </c>
    </row>
    <row r="121" spans="1:2">
      <c r="A121" s="15">
        <v>45565</v>
      </c>
      <c r="B121" s="16">
        <v>6.3757000000000001</v>
      </c>
    </row>
    <row r="122" spans="1:2">
      <c r="A122" s="15">
        <v>45566</v>
      </c>
      <c r="B122" s="16">
        <v>6.4763999999999999</v>
      </c>
    </row>
    <row r="123" spans="1:2">
      <c r="A123" s="15">
        <v>45568</v>
      </c>
      <c r="B123" s="16">
        <v>6.4836</v>
      </c>
    </row>
    <row r="124" spans="1:2">
      <c r="A124" s="15">
        <v>45569</v>
      </c>
      <c r="B124" s="16">
        <v>6.4367999999999999</v>
      </c>
    </row>
    <row r="125" spans="1:2">
      <c r="A125" s="15">
        <v>45572</v>
      </c>
      <c r="B125" s="16">
        <v>6.5190000000000001</v>
      </c>
    </row>
    <row r="126" spans="1:2">
      <c r="A126" s="15">
        <v>45573</v>
      </c>
      <c r="B126" s="16">
        <v>6.4752000000000001</v>
      </c>
    </row>
    <row r="127" spans="1:2">
      <c r="A127" s="15">
        <v>45574</v>
      </c>
      <c r="B127" s="16">
        <v>6.5110999999999999</v>
      </c>
    </row>
    <row r="128" spans="1:2">
      <c r="A128" s="15">
        <v>45575</v>
      </c>
      <c r="B128" s="16">
        <v>6.5088999999999997</v>
      </c>
    </row>
    <row r="129" spans="1:2">
      <c r="A129" s="15">
        <v>45576</v>
      </c>
      <c r="B129" s="16">
        <v>6.5060000000000002</v>
      </c>
    </row>
    <row r="130" spans="1:2">
      <c r="A130" s="15">
        <v>45579</v>
      </c>
      <c r="B130" s="16">
        <v>6.4715999999999996</v>
      </c>
    </row>
    <row r="131" spans="1:2">
      <c r="A131" s="15">
        <v>45580</v>
      </c>
      <c r="B131" s="16">
        <v>6.5026999999999999</v>
      </c>
    </row>
    <row r="132" spans="1:2">
      <c r="A132" s="15">
        <v>45581</v>
      </c>
      <c r="B132" s="16">
        <v>6.5014000000000003</v>
      </c>
    </row>
    <row r="133" spans="1:2">
      <c r="A133" s="15">
        <v>45582</v>
      </c>
      <c r="B133" s="16">
        <v>6.4626000000000001</v>
      </c>
    </row>
    <row r="134" spans="1:2">
      <c r="A134" s="15">
        <v>45583</v>
      </c>
      <c r="B134" s="16">
        <v>6.5129999999999999</v>
      </c>
    </row>
    <row r="135" spans="1:2">
      <c r="A135" s="15">
        <v>45586</v>
      </c>
      <c r="B135" s="16">
        <v>6.51</v>
      </c>
    </row>
    <row r="136" spans="1:2">
      <c r="A136" s="15">
        <v>45587</v>
      </c>
      <c r="B136" s="16">
        <v>6.5335000000000001</v>
      </c>
    </row>
    <row r="137" spans="1:2">
      <c r="A137" s="15">
        <v>45588</v>
      </c>
      <c r="B137" s="16">
        <v>6.5625</v>
      </c>
    </row>
    <row r="138" spans="1:2">
      <c r="A138" s="15">
        <v>45589</v>
      </c>
      <c r="B138" s="16">
        <v>6.5587</v>
      </c>
    </row>
    <row r="139" spans="1:2">
      <c r="A139" s="15">
        <v>45590</v>
      </c>
      <c r="B139" s="16">
        <v>6.5636999999999999</v>
      </c>
    </row>
    <row r="140" spans="1:2">
      <c r="A140" s="15">
        <v>45593</v>
      </c>
      <c r="B140" s="16">
        <v>6.5082000000000004</v>
      </c>
    </row>
    <row r="141" spans="1:2">
      <c r="A141" s="15">
        <v>45594</v>
      </c>
      <c r="B141" s="16">
        <v>6.5045000000000002</v>
      </c>
    </row>
    <row r="142" spans="1:2">
      <c r="A142" s="15">
        <v>45595</v>
      </c>
      <c r="B142" s="16">
        <v>6.5614999999999997</v>
      </c>
    </row>
    <row r="143" spans="1:2">
      <c r="A143" s="15">
        <v>45596</v>
      </c>
      <c r="B143" s="16">
        <v>6.4951999999999996</v>
      </c>
    </row>
    <row r="144" spans="1:2">
      <c r="A144" s="15">
        <v>45600</v>
      </c>
      <c r="B144" s="16">
        <v>6.4858000000000002</v>
      </c>
    </row>
    <row r="145" spans="1:2">
      <c r="A145" s="15">
        <v>45601</v>
      </c>
      <c r="B145" s="16">
        <v>6.4410999999999996</v>
      </c>
    </row>
    <row r="146" spans="1:2">
      <c r="A146" s="15">
        <v>45602</v>
      </c>
      <c r="B146" s="16">
        <v>6.4573999999999998</v>
      </c>
    </row>
    <row r="147" spans="1:2">
      <c r="A147" s="15">
        <v>45603</v>
      </c>
      <c r="B147" s="16">
        <v>6.5033000000000003</v>
      </c>
    </row>
    <row r="148" spans="1:2">
      <c r="A148" s="15">
        <v>45604</v>
      </c>
      <c r="B148" s="16">
        <v>6.5148999999999999</v>
      </c>
    </row>
    <row r="149" spans="1:2">
      <c r="A149" s="15">
        <v>45607</v>
      </c>
      <c r="B149" s="16">
        <v>6.4424000000000001</v>
      </c>
    </row>
    <row r="150" spans="1:2">
      <c r="A150" s="15">
        <v>45608</v>
      </c>
      <c r="B150" s="16">
        <v>6.44</v>
      </c>
    </row>
    <row r="151" spans="1:2">
      <c r="A151" s="15">
        <v>45609</v>
      </c>
      <c r="B151" s="16">
        <v>6.5385</v>
      </c>
    </row>
    <row r="152" spans="1:2">
      <c r="A152" s="15">
        <v>45610</v>
      </c>
      <c r="B152" s="16">
        <v>6.4762000000000004</v>
      </c>
    </row>
    <row r="153" spans="1:2">
      <c r="A153" s="15">
        <v>45614</v>
      </c>
      <c r="B153" s="16">
        <v>6.5387000000000004</v>
      </c>
    </row>
    <row r="154" spans="1:2">
      <c r="A154" s="15">
        <v>45615</v>
      </c>
      <c r="B154" s="16">
        <v>6.4501999999999997</v>
      </c>
    </row>
    <row r="155" spans="1:2">
      <c r="A155" s="15">
        <v>45617</v>
      </c>
      <c r="B155" s="16">
        <v>6.5895000000000001</v>
      </c>
    </row>
    <row r="156" spans="1:2">
      <c r="A156" s="15">
        <v>45618</v>
      </c>
      <c r="B156" s="16">
        <v>6.5580999999999996</v>
      </c>
    </row>
    <row r="157" spans="1:2">
      <c r="A157" s="15">
        <v>45621</v>
      </c>
      <c r="B157" s="16">
        <v>6.4794999999999998</v>
      </c>
    </row>
    <row r="158" spans="1:2">
      <c r="A158" s="15">
        <v>45622</v>
      </c>
      <c r="B158" s="16">
        <v>6.4912999999999998</v>
      </c>
    </row>
    <row r="159" spans="1:2">
      <c r="A159" s="15">
        <v>45623</v>
      </c>
      <c r="B159" s="16">
        <v>6.5921000000000003</v>
      </c>
    </row>
    <row r="160" spans="1:2">
      <c r="A160" s="15">
        <v>45624</v>
      </c>
      <c r="B160" s="16">
        <v>6.5491000000000001</v>
      </c>
    </row>
    <row r="161" spans="1:2">
      <c r="A161" s="15">
        <v>45625</v>
      </c>
      <c r="B161" s="16">
        <v>6.6032999999999999</v>
      </c>
    </row>
    <row r="162" spans="1:2">
      <c r="A162" s="15">
        <v>45628</v>
      </c>
      <c r="B162" s="16">
        <v>6.4207999999999998</v>
      </c>
    </row>
    <row r="163" spans="1:2">
      <c r="A163" s="15">
        <v>45629</v>
      </c>
      <c r="B163" s="16">
        <v>6.4885999999999999</v>
      </c>
    </row>
    <row r="164" spans="1:2">
      <c r="A164" s="15">
        <v>45630</v>
      </c>
      <c r="B164" s="16">
        <v>6.4686000000000003</v>
      </c>
    </row>
    <row r="165" spans="1:2">
      <c r="A165" s="15">
        <v>45631</v>
      </c>
      <c r="B165" s="16">
        <v>6.5160999999999998</v>
      </c>
    </row>
    <row r="166" spans="1:2">
      <c r="A166" s="15">
        <v>45632</v>
      </c>
      <c r="B166" s="16">
        <v>6.4539999999999997</v>
      </c>
    </row>
    <row r="167" spans="1:2">
      <c r="A167" s="15">
        <v>45635</v>
      </c>
      <c r="B167" s="16">
        <v>6.4512999999999998</v>
      </c>
    </row>
    <row r="168" spans="1:2">
      <c r="A168" s="15">
        <v>45636</v>
      </c>
      <c r="B168" s="16">
        <v>6.407</v>
      </c>
    </row>
    <row r="169" spans="1:2">
      <c r="A169" s="15">
        <v>45637</v>
      </c>
      <c r="B169" s="16">
        <v>6.5174000000000003</v>
      </c>
    </row>
    <row r="170" spans="1:2">
      <c r="A170" s="15">
        <v>45638</v>
      </c>
      <c r="B170" s="16">
        <v>6.4454000000000002</v>
      </c>
    </row>
    <row r="171" spans="1:2">
      <c r="A171" s="15">
        <v>45639</v>
      </c>
      <c r="B171" s="16">
        <v>6.6365999999999996</v>
      </c>
    </row>
    <row r="172" spans="1:2">
      <c r="A172" s="15">
        <v>45642</v>
      </c>
      <c r="B172" s="16">
        <v>6.6033999999999997</v>
      </c>
    </row>
    <row r="173" spans="1:2">
      <c r="A173" s="15">
        <v>45643</v>
      </c>
      <c r="B173" s="16">
        <v>6.4772999999999996</v>
      </c>
    </row>
    <row r="174" spans="1:2">
      <c r="A174" s="15">
        <v>45644</v>
      </c>
      <c r="B174" s="16">
        <v>6.5869</v>
      </c>
    </row>
    <row r="175" spans="1:2">
      <c r="A175" s="15">
        <v>45645</v>
      </c>
      <c r="B175" s="16">
        <v>6.5644999999999998</v>
      </c>
    </row>
    <row r="176" spans="1:2">
      <c r="A176" s="15">
        <v>45646</v>
      </c>
      <c r="B176" s="16">
        <v>6.5094000000000003</v>
      </c>
    </row>
    <row r="177" spans="1:2">
      <c r="A177" s="15">
        <v>45649</v>
      </c>
      <c r="B177" s="16">
        <v>6.593</v>
      </c>
    </row>
    <row r="178" spans="1:2">
      <c r="A178" s="15">
        <v>45650</v>
      </c>
      <c r="B178" s="16">
        <v>6.6816000000000004</v>
      </c>
    </row>
    <row r="179" spans="1:2">
      <c r="A179" s="15">
        <v>45652</v>
      </c>
      <c r="B179" s="16">
        <v>6.6745000000000001</v>
      </c>
    </row>
    <row r="180" spans="1:2">
      <c r="A180" s="15">
        <v>45653</v>
      </c>
      <c r="B180" s="16">
        <v>6.6805000000000003</v>
      </c>
    </row>
    <row r="181" spans="1:2">
      <c r="A181" s="15">
        <v>45656</v>
      </c>
      <c r="B181" s="16">
        <v>6.6688999999999998</v>
      </c>
    </row>
    <row r="182" spans="1:2">
      <c r="A182" s="15">
        <v>45657</v>
      </c>
      <c r="B182" s="16">
        <v>6.4195000000000002</v>
      </c>
    </row>
    <row r="183" spans="1:2">
      <c r="A183" s="15">
        <v>45658</v>
      </c>
      <c r="B183" s="16">
        <v>6.6284000000000001</v>
      </c>
    </row>
    <row r="184" spans="1:2">
      <c r="A184" s="15">
        <v>45659</v>
      </c>
      <c r="B184" s="16">
        <v>6.5491000000000001</v>
      </c>
    </row>
    <row r="185" spans="1:2">
      <c r="A185" s="15">
        <v>45660</v>
      </c>
      <c r="B185" s="16">
        <v>6.5110999999999999</v>
      </c>
    </row>
    <row r="186" spans="1:2">
      <c r="A186" s="15">
        <v>45663</v>
      </c>
      <c r="B186" s="16">
        <v>6.5388999999999999</v>
      </c>
    </row>
    <row r="187" spans="1:2">
      <c r="A187" s="15">
        <v>45664</v>
      </c>
      <c r="B187" s="16">
        <v>6.6247999999999996</v>
      </c>
    </row>
    <row r="188" spans="1:2">
      <c r="A188" s="15">
        <v>45665</v>
      </c>
      <c r="B188" s="16">
        <v>6.6557000000000004</v>
      </c>
    </row>
    <row r="189" spans="1:2">
      <c r="A189" s="15">
        <v>45666</v>
      </c>
      <c r="B189" s="16">
        <v>6.6291000000000002</v>
      </c>
    </row>
    <row r="190" spans="1:2">
      <c r="A190" s="15">
        <v>45667</v>
      </c>
      <c r="B190" s="16">
        <v>6.6702000000000004</v>
      </c>
    </row>
    <row r="191" spans="1:2">
      <c r="A191" s="15">
        <v>45670</v>
      </c>
      <c r="B191" s="16">
        <v>6.6795999999999998</v>
      </c>
    </row>
    <row r="192" spans="1:2">
      <c r="A192" s="15">
        <v>45671</v>
      </c>
      <c r="B192" s="16">
        <v>6.6901000000000002</v>
      </c>
    </row>
    <row r="193" spans="1:2">
      <c r="A193" s="15">
        <v>45672</v>
      </c>
      <c r="B193" s="16">
        <v>6.6573000000000002</v>
      </c>
    </row>
    <row r="194" spans="1:2">
      <c r="A194" s="15">
        <v>45673</v>
      </c>
      <c r="B194" s="16">
        <v>6.6001000000000003</v>
      </c>
    </row>
    <row r="195" spans="1:2">
      <c r="A195" s="15">
        <v>45674</v>
      </c>
      <c r="B195" s="16">
        <v>6.4785000000000004</v>
      </c>
    </row>
    <row r="196" spans="1:2">
      <c r="A196" s="15">
        <v>45677</v>
      </c>
      <c r="B196" s="16">
        <v>6.5260999999999996</v>
      </c>
    </row>
    <row r="197" spans="1:2">
      <c r="A197" s="15">
        <v>45678</v>
      </c>
      <c r="B197" s="16">
        <v>6.5734000000000004</v>
      </c>
    </row>
    <row r="198" spans="1:2">
      <c r="A198" s="15">
        <v>45679</v>
      </c>
      <c r="B198" s="16">
        <v>6.6352000000000002</v>
      </c>
    </row>
    <row r="199" spans="1:2">
      <c r="A199" s="15">
        <v>45680</v>
      </c>
      <c r="B199" s="16">
        <v>6.5430000000000001</v>
      </c>
    </row>
    <row r="200" spans="1:2">
      <c r="A200" s="15">
        <v>45681</v>
      </c>
      <c r="B200" s="16">
        <v>6.6215999999999999</v>
      </c>
    </row>
    <row r="201" spans="1:2">
      <c r="A201" s="15">
        <v>45684</v>
      </c>
      <c r="B201" s="16">
        <v>6.6294000000000004</v>
      </c>
    </row>
    <row r="202" spans="1:2">
      <c r="A202" s="15">
        <v>45685</v>
      </c>
      <c r="B202" s="16">
        <v>6.5632999999999999</v>
      </c>
    </row>
    <row r="203" spans="1:2">
      <c r="A203" s="15">
        <v>45686</v>
      </c>
      <c r="B203" s="16">
        <v>6.62</v>
      </c>
    </row>
    <row r="204" spans="1:2">
      <c r="A204" s="15">
        <v>45687</v>
      </c>
      <c r="B204" s="16">
        <v>6.5578000000000003</v>
      </c>
    </row>
    <row r="205" spans="1:2">
      <c r="A205" s="15">
        <v>45688</v>
      </c>
      <c r="B205" s="16">
        <v>6.5831</v>
      </c>
    </row>
    <row r="206" spans="1:2">
      <c r="A206" s="15">
        <v>45691</v>
      </c>
      <c r="B206" s="16">
        <v>6.5204000000000004</v>
      </c>
    </row>
    <row r="207" spans="1:2">
      <c r="A207" s="15">
        <v>45692</v>
      </c>
      <c r="B207" s="16">
        <v>6.5568999999999997</v>
      </c>
    </row>
    <row r="208" spans="1:2">
      <c r="A208" s="15">
        <v>45693</v>
      </c>
      <c r="B208" s="16">
        <v>6.5194000000000001</v>
      </c>
    </row>
    <row r="209" spans="1:2">
      <c r="A209" s="15">
        <v>45694</v>
      </c>
      <c r="B209" s="16">
        <v>6.5311000000000003</v>
      </c>
    </row>
    <row r="210" spans="1:2">
      <c r="A210" s="15">
        <v>45695</v>
      </c>
      <c r="B210" s="16">
        <v>6.3920000000000003</v>
      </c>
    </row>
    <row r="211" spans="1:2">
      <c r="A211" s="15">
        <v>45698</v>
      </c>
      <c r="B211" s="16">
        <v>6.3594999999999997</v>
      </c>
    </row>
    <row r="212" spans="1:2">
      <c r="A212" s="15">
        <v>45699</v>
      </c>
      <c r="B212" s="16">
        <v>6.4067999999999996</v>
      </c>
    </row>
    <row r="213" spans="1:2">
      <c r="A213" s="15">
        <v>45700</v>
      </c>
      <c r="B213" s="16">
        <v>6.3789999999999996</v>
      </c>
    </row>
    <row r="214" spans="1:2">
      <c r="A214" s="15">
        <v>45701</v>
      </c>
      <c r="B214" s="16">
        <v>6.4114000000000004</v>
      </c>
    </row>
    <row r="215" spans="1:2">
      <c r="A215" s="15">
        <v>45702</v>
      </c>
      <c r="B215" s="16">
        <v>6.5335999999999999</v>
      </c>
    </row>
    <row r="216" spans="1:2">
      <c r="A216" s="15">
        <v>45705</v>
      </c>
      <c r="B216" s="16">
        <v>6.4885999999999999</v>
      </c>
    </row>
    <row r="217" spans="1:2">
      <c r="A217" s="15">
        <v>45706</v>
      </c>
      <c r="B217" s="16">
        <v>6.3319999999999999</v>
      </c>
    </row>
    <row r="218" spans="1:2">
      <c r="A218" s="15">
        <v>45708</v>
      </c>
      <c r="B218" s="16">
        <v>6.5191999999999997</v>
      </c>
    </row>
    <row r="219" spans="1:2">
      <c r="A219" s="15">
        <v>45709</v>
      </c>
      <c r="B219" s="16">
        <v>6.5095000000000001</v>
      </c>
    </row>
    <row r="220" spans="1:2">
      <c r="A220" s="15">
        <v>45712</v>
      </c>
      <c r="B220" s="16">
        <v>6.4756999999999998</v>
      </c>
    </row>
    <row r="221" spans="1:2">
      <c r="A221" s="15">
        <v>45713</v>
      </c>
      <c r="B221" s="16">
        <v>6.4946000000000002</v>
      </c>
    </row>
    <row r="222" spans="1:2">
      <c r="A222" s="15">
        <v>45715</v>
      </c>
      <c r="B222" s="16">
        <v>6.5164999999999997</v>
      </c>
    </row>
    <row r="223" spans="1:2">
      <c r="A223" s="15">
        <v>45716</v>
      </c>
      <c r="B223" s="16">
        <v>6.5343</v>
      </c>
    </row>
    <row r="224" spans="1:2">
      <c r="A224" s="15">
        <v>45719</v>
      </c>
      <c r="B224" s="16">
        <v>6.5326000000000004</v>
      </c>
    </row>
    <row r="225" spans="1:2">
      <c r="A225" s="15">
        <v>45720</v>
      </c>
      <c r="B225" s="16">
        <v>6.4836</v>
      </c>
    </row>
    <row r="226" spans="1:2">
      <c r="A226" s="15">
        <v>45721</v>
      </c>
      <c r="B226" s="16">
        <v>6.5303000000000004</v>
      </c>
    </row>
    <row r="227" spans="1:2">
      <c r="A227" s="15">
        <v>45722</v>
      </c>
      <c r="B227" s="16">
        <v>6.4424000000000001</v>
      </c>
    </row>
    <row r="228" spans="1:2">
      <c r="A228" s="15">
        <v>45723</v>
      </c>
      <c r="B228" s="16">
        <v>6.5235000000000003</v>
      </c>
    </row>
    <row r="229" spans="1:2">
      <c r="A229" s="15">
        <v>45726</v>
      </c>
      <c r="B229" s="16">
        <v>6.3543000000000003</v>
      </c>
    </row>
    <row r="230" spans="1:2">
      <c r="A230" s="15">
        <v>45727</v>
      </c>
      <c r="B230" s="16">
        <v>6.4409000000000001</v>
      </c>
    </row>
    <row r="231" spans="1:2">
      <c r="A231" s="15">
        <v>45728</v>
      </c>
      <c r="B231" s="16">
        <v>6.5143000000000004</v>
      </c>
    </row>
    <row r="232" spans="1:2">
      <c r="A232" s="15">
        <v>45729</v>
      </c>
      <c r="B232" s="16">
        <v>6.4137000000000004</v>
      </c>
    </row>
    <row r="233" spans="1:2">
      <c r="A233" s="15">
        <v>45733</v>
      </c>
      <c r="B233" s="16">
        <v>6.4359000000000002</v>
      </c>
    </row>
    <row r="234" spans="1:2">
      <c r="A234" s="15">
        <v>45734</v>
      </c>
      <c r="B234" s="16">
        <v>6.4546999999999999</v>
      </c>
    </row>
    <row r="235" spans="1:2">
      <c r="A235" s="15">
        <v>45735</v>
      </c>
      <c r="B235" s="16">
        <v>6.5380000000000003</v>
      </c>
    </row>
    <row r="236" spans="1:2">
      <c r="A236" s="15">
        <v>45736</v>
      </c>
      <c r="B236" s="16">
        <v>6.5167999999999999</v>
      </c>
    </row>
    <row r="237" spans="1:2">
      <c r="A237" s="15">
        <v>45737</v>
      </c>
      <c r="B237" s="16">
        <v>6.5556000000000001</v>
      </c>
    </row>
    <row r="238" spans="1:2">
      <c r="A238" s="15">
        <v>45740</v>
      </c>
      <c r="B238" s="16">
        <v>6.5099</v>
      </c>
    </row>
    <row r="239" spans="1:2">
      <c r="A239" s="15">
        <v>45741</v>
      </c>
      <c r="B239" s="16">
        <v>6.5221999999999998</v>
      </c>
    </row>
    <row r="240" spans="1:2">
      <c r="A240" s="15">
        <v>45742</v>
      </c>
      <c r="B240" s="16">
        <v>6.4688999999999997</v>
      </c>
    </row>
    <row r="241" spans="1:2">
      <c r="A241" s="15">
        <v>45743</v>
      </c>
      <c r="B241" s="16">
        <v>6.4364999999999997</v>
      </c>
    </row>
    <row r="242" spans="1:2">
      <c r="A242" s="15">
        <v>45744</v>
      </c>
      <c r="B242" s="16">
        <v>6.4112999999999998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EAE2-6528-4020-B587-D9636150EDCA}">
  <dimension ref="A1:L254"/>
  <sheetViews>
    <sheetView workbookViewId="0">
      <selection activeCell="A6" sqref="A6:D9"/>
    </sheetView>
  </sheetViews>
  <sheetFormatPr defaultRowHeight="14.4"/>
  <cols>
    <col min="1" max="1" width="13.6640625" customWidth="1"/>
    <col min="8" max="8" width="11.33203125" bestFit="1" customWidth="1"/>
    <col min="11" max="11" width="18.44140625" bestFit="1" customWidth="1"/>
    <col min="12" max="12" width="15" customWidth="1"/>
  </cols>
  <sheetData>
    <row r="1" spans="1:12" ht="30" customHeight="1">
      <c r="A1" s="6" t="s">
        <v>45</v>
      </c>
      <c r="B1" t="s">
        <v>46</v>
      </c>
      <c r="C1" t="s">
        <v>47</v>
      </c>
    </row>
    <row r="3" spans="1:12" ht="21.6">
      <c r="A3" s="20" t="s">
        <v>1</v>
      </c>
      <c r="B3" s="20" t="s">
        <v>2</v>
      </c>
      <c r="C3" s="20" t="s">
        <v>3</v>
      </c>
      <c r="D3" s="20" t="s">
        <v>4</v>
      </c>
      <c r="E3" s="20" t="s">
        <v>48</v>
      </c>
      <c r="F3" s="20" t="s">
        <v>6</v>
      </c>
      <c r="H3" s="23" t="s">
        <v>49</v>
      </c>
    </row>
    <row r="4" spans="1:12">
      <c r="A4" s="22">
        <v>45747</v>
      </c>
      <c r="B4" s="21">
        <v>105.13</v>
      </c>
      <c r="C4" s="21">
        <v>110.96</v>
      </c>
      <c r="D4" s="21">
        <v>103.65</v>
      </c>
      <c r="E4" s="21">
        <v>109.67</v>
      </c>
      <c r="F4" s="21">
        <v>108.38</v>
      </c>
      <c r="H4" s="10">
        <f>(F4-E4)/E4</f>
        <v>-1.1762560408498279E-2</v>
      </c>
    </row>
    <row r="5" spans="1:12">
      <c r="A5" s="22">
        <v>45744</v>
      </c>
      <c r="B5" s="21">
        <v>111.49</v>
      </c>
      <c r="C5" s="21">
        <v>112.87</v>
      </c>
      <c r="D5" s="21">
        <v>109.07</v>
      </c>
      <c r="E5" s="21">
        <v>111.43</v>
      </c>
      <c r="F5" s="21">
        <v>109.67</v>
      </c>
      <c r="H5" s="10">
        <f t="shared" ref="H5:H68" si="0">(F5-E5)/E5</f>
        <v>-1.5794669299111594E-2</v>
      </c>
    </row>
    <row r="6" spans="1:12">
      <c r="A6" s="22">
        <v>45743</v>
      </c>
      <c r="B6" s="21">
        <v>111.35</v>
      </c>
      <c r="C6" s="21">
        <v>114.45</v>
      </c>
      <c r="D6" s="21">
        <v>110.66</v>
      </c>
      <c r="E6" s="21">
        <v>113.76</v>
      </c>
      <c r="F6" s="21">
        <v>111.43</v>
      </c>
      <c r="H6" s="10">
        <f t="shared" si="0"/>
        <v>-2.0481715893108283E-2</v>
      </c>
      <c r="K6" t="s">
        <v>8</v>
      </c>
      <c r="L6">
        <f>AVERAGE(H4:H254)</f>
        <v>1.3604894710219852E-3</v>
      </c>
    </row>
    <row r="7" spans="1:12">
      <c r="A7" s="22">
        <v>45742</v>
      </c>
      <c r="B7" s="21">
        <v>118.73</v>
      </c>
      <c r="C7" s="21">
        <v>118.84</v>
      </c>
      <c r="D7" s="21">
        <v>112.71</v>
      </c>
      <c r="E7" s="21">
        <v>120.69</v>
      </c>
      <c r="F7" s="21">
        <v>113.76</v>
      </c>
      <c r="H7" s="10">
        <f t="shared" si="0"/>
        <v>-5.7419835943325816E-2</v>
      </c>
      <c r="K7" t="s">
        <v>9</v>
      </c>
      <c r="L7">
        <f>_xlfn.VAR.S(H4:H254)</f>
        <v>1.2613007105973086E-3</v>
      </c>
    </row>
    <row r="8" spans="1:12">
      <c r="A8" s="22">
        <v>45741</v>
      </c>
      <c r="B8" s="21">
        <v>120.55</v>
      </c>
      <c r="C8" s="21">
        <v>121.29</v>
      </c>
      <c r="D8" s="21">
        <v>118.92</v>
      </c>
      <c r="E8" s="21">
        <v>121.41</v>
      </c>
      <c r="F8" s="21">
        <v>120.69</v>
      </c>
      <c r="H8" s="10">
        <f t="shared" si="0"/>
        <v>-5.9303187546330526E-3</v>
      </c>
      <c r="K8" t="s">
        <v>10</v>
      </c>
      <c r="L8">
        <f>_xlfn.STDEV.S(H4:H254)</f>
        <v>3.5514795657546852E-2</v>
      </c>
    </row>
    <row r="9" spans="1:12">
      <c r="A9" s="22">
        <v>45740</v>
      </c>
      <c r="B9" s="21">
        <v>119.88</v>
      </c>
      <c r="C9" s="21">
        <v>122.22</v>
      </c>
      <c r="D9" s="21">
        <v>119.34</v>
      </c>
      <c r="E9" s="21">
        <v>117.7</v>
      </c>
      <c r="F9" s="21">
        <v>121.41</v>
      </c>
      <c r="H9" s="10">
        <f t="shared" si="0"/>
        <v>3.1520815632965112E-2</v>
      </c>
    </row>
    <row r="10" spans="1:12">
      <c r="A10" s="22">
        <v>45737</v>
      </c>
      <c r="B10" s="21">
        <v>116.94</v>
      </c>
      <c r="C10" s="21">
        <v>117.99</v>
      </c>
      <c r="D10" s="21">
        <v>115.42</v>
      </c>
      <c r="E10" s="21">
        <v>118.53</v>
      </c>
      <c r="F10" s="21">
        <v>117.7</v>
      </c>
      <c r="H10" s="10">
        <f t="shared" si="0"/>
        <v>-7.002446637981931E-3</v>
      </c>
    </row>
    <row r="11" spans="1:12">
      <c r="A11" s="22">
        <v>45736</v>
      </c>
      <c r="B11" s="21">
        <v>116.55</v>
      </c>
      <c r="C11" s="21">
        <v>120.2</v>
      </c>
      <c r="D11" s="21">
        <v>116.47</v>
      </c>
      <c r="E11" s="21">
        <v>117.52</v>
      </c>
      <c r="F11" s="21">
        <v>118.53</v>
      </c>
      <c r="H11" s="10">
        <f t="shared" si="0"/>
        <v>8.5942818243703641E-3</v>
      </c>
    </row>
    <row r="12" spans="1:12">
      <c r="A12" s="22">
        <v>45735</v>
      </c>
      <c r="B12" s="21">
        <v>117.27</v>
      </c>
      <c r="C12" s="21">
        <v>120.45</v>
      </c>
      <c r="D12" s="21">
        <v>115.68</v>
      </c>
      <c r="E12" s="21">
        <v>115.43</v>
      </c>
      <c r="F12" s="21">
        <v>117.52</v>
      </c>
      <c r="H12" s="10">
        <f t="shared" si="0"/>
        <v>1.8106211556787568E-2</v>
      </c>
    </row>
    <row r="13" spans="1:12">
      <c r="A13" s="22">
        <v>45734</v>
      </c>
      <c r="B13" s="21">
        <v>118</v>
      </c>
      <c r="C13" s="21">
        <v>119.02</v>
      </c>
      <c r="D13" s="21">
        <v>114.54</v>
      </c>
      <c r="E13" s="21">
        <v>119.53</v>
      </c>
      <c r="F13" s="21">
        <v>115.43</v>
      </c>
      <c r="H13" s="10">
        <f t="shared" si="0"/>
        <v>-3.4301012298167774E-2</v>
      </c>
    </row>
    <row r="14" spans="1:12">
      <c r="A14" s="22">
        <v>45733</v>
      </c>
      <c r="B14" s="21">
        <v>122.74</v>
      </c>
      <c r="C14" s="21">
        <v>122.89</v>
      </c>
      <c r="D14" s="21">
        <v>118.03</v>
      </c>
      <c r="E14" s="21">
        <v>121.67</v>
      </c>
      <c r="F14" s="21">
        <v>119.53</v>
      </c>
      <c r="H14" s="10">
        <f t="shared" si="0"/>
        <v>-1.7588559217555689E-2</v>
      </c>
    </row>
    <row r="15" spans="1:12">
      <c r="A15" s="22">
        <v>45730</v>
      </c>
      <c r="B15" s="21">
        <v>118.61</v>
      </c>
      <c r="C15" s="21">
        <v>121.88</v>
      </c>
      <c r="D15" s="21">
        <v>118.15</v>
      </c>
      <c r="E15" s="21">
        <v>115.58</v>
      </c>
      <c r="F15" s="21">
        <v>121.67</v>
      </c>
      <c r="H15" s="10">
        <f t="shared" si="0"/>
        <v>5.2690776951029618E-2</v>
      </c>
    </row>
    <row r="16" spans="1:12">
      <c r="A16" s="22">
        <v>45729</v>
      </c>
      <c r="B16" s="21">
        <v>117.03</v>
      </c>
      <c r="C16" s="21">
        <v>117.76</v>
      </c>
      <c r="D16" s="21">
        <v>113.79</v>
      </c>
      <c r="E16" s="21">
        <v>115.74</v>
      </c>
      <c r="F16" s="21">
        <v>115.58</v>
      </c>
      <c r="H16" s="10">
        <f t="shared" si="0"/>
        <v>-1.382408847416594E-3</v>
      </c>
    </row>
    <row r="17" spans="1:8">
      <c r="A17" s="22">
        <v>45728</v>
      </c>
      <c r="B17" s="21">
        <v>114.12</v>
      </c>
      <c r="C17" s="21">
        <v>116.76</v>
      </c>
      <c r="D17" s="21">
        <v>112.88</v>
      </c>
      <c r="E17" s="21">
        <v>108.76</v>
      </c>
      <c r="F17" s="21">
        <v>115.74</v>
      </c>
      <c r="H17" s="10">
        <f t="shared" si="0"/>
        <v>6.4178006620080816E-2</v>
      </c>
    </row>
    <row r="18" spans="1:8">
      <c r="A18" s="22">
        <v>45727</v>
      </c>
      <c r="B18" s="21">
        <v>106.99</v>
      </c>
      <c r="C18" s="21">
        <v>112.24</v>
      </c>
      <c r="D18" s="21">
        <v>104.77</v>
      </c>
      <c r="E18" s="21">
        <v>106.98</v>
      </c>
      <c r="F18" s="21">
        <v>108.76</v>
      </c>
      <c r="H18" s="10">
        <f t="shared" si="0"/>
        <v>1.6638624041876996E-2</v>
      </c>
    </row>
    <row r="19" spans="1:8">
      <c r="A19" s="22">
        <v>45726</v>
      </c>
      <c r="B19" s="21">
        <v>109.9</v>
      </c>
      <c r="C19" s="21">
        <v>111.85</v>
      </c>
      <c r="D19" s="21">
        <v>105.46</v>
      </c>
      <c r="E19" s="21">
        <v>112.69</v>
      </c>
      <c r="F19" s="21">
        <v>106.98</v>
      </c>
      <c r="H19" s="10">
        <f t="shared" si="0"/>
        <v>-5.0669979590025678E-2</v>
      </c>
    </row>
    <row r="20" spans="1:8">
      <c r="A20" s="22">
        <v>45723</v>
      </c>
      <c r="B20" s="21">
        <v>111.25</v>
      </c>
      <c r="C20" s="21">
        <v>113.48</v>
      </c>
      <c r="D20" s="21">
        <v>107.56</v>
      </c>
      <c r="E20" s="21">
        <v>110.57</v>
      </c>
      <c r="F20" s="21">
        <v>112.69</v>
      </c>
      <c r="H20" s="10">
        <f t="shared" si="0"/>
        <v>1.9173374333001762E-2</v>
      </c>
    </row>
    <row r="21" spans="1:8">
      <c r="A21" s="22">
        <v>45722</v>
      </c>
      <c r="B21" s="21">
        <v>113.53</v>
      </c>
      <c r="C21" s="21">
        <v>115.35</v>
      </c>
      <c r="D21" s="21">
        <v>110.22</v>
      </c>
      <c r="E21" s="21">
        <v>117.3</v>
      </c>
      <c r="F21" s="21">
        <v>110.57</v>
      </c>
      <c r="H21" s="10">
        <f t="shared" si="0"/>
        <v>-5.7374254049445898E-2</v>
      </c>
    </row>
    <row r="22" spans="1:8">
      <c r="A22" s="22">
        <v>45721</v>
      </c>
      <c r="B22" s="21">
        <v>117.58</v>
      </c>
      <c r="C22" s="21">
        <v>118.28</v>
      </c>
      <c r="D22" s="21">
        <v>114.51</v>
      </c>
      <c r="E22" s="21">
        <v>115.99</v>
      </c>
      <c r="F22" s="21">
        <v>117.3</v>
      </c>
      <c r="H22" s="10">
        <f t="shared" si="0"/>
        <v>1.1294077075609987E-2</v>
      </c>
    </row>
    <row r="23" spans="1:8">
      <c r="A23" s="22">
        <v>45720</v>
      </c>
      <c r="B23" s="21">
        <v>110.65</v>
      </c>
      <c r="C23" s="21">
        <v>119.31</v>
      </c>
      <c r="D23" s="21">
        <v>110.11</v>
      </c>
      <c r="E23" s="21">
        <v>114.06</v>
      </c>
      <c r="F23" s="21">
        <v>115.99</v>
      </c>
      <c r="H23" s="10">
        <f t="shared" si="0"/>
        <v>1.6920918814658886E-2</v>
      </c>
    </row>
    <row r="24" spans="1:8">
      <c r="A24" s="22">
        <v>45719</v>
      </c>
      <c r="B24" s="21">
        <v>123.51</v>
      </c>
      <c r="C24" s="21">
        <v>123.7</v>
      </c>
      <c r="D24" s="21">
        <v>112.28</v>
      </c>
      <c r="E24" s="21">
        <v>124.92</v>
      </c>
      <c r="F24" s="21">
        <v>114.06</v>
      </c>
      <c r="H24" s="10">
        <f t="shared" si="0"/>
        <v>-8.6935638808837645E-2</v>
      </c>
    </row>
    <row r="25" spans="1:8">
      <c r="A25" s="22">
        <v>45716</v>
      </c>
      <c r="B25" s="21">
        <v>118.02</v>
      </c>
      <c r="C25" s="21">
        <v>125.09</v>
      </c>
      <c r="D25" s="21">
        <v>116.4</v>
      </c>
      <c r="E25" s="21">
        <v>120.15</v>
      </c>
      <c r="F25" s="21">
        <v>124.92</v>
      </c>
      <c r="H25" s="10">
        <f t="shared" si="0"/>
        <v>3.970037453183517E-2</v>
      </c>
    </row>
    <row r="26" spans="1:8">
      <c r="A26" s="22">
        <v>45715</v>
      </c>
      <c r="B26" s="21">
        <v>135</v>
      </c>
      <c r="C26" s="21">
        <v>135.01</v>
      </c>
      <c r="D26" s="21">
        <v>120.01</v>
      </c>
      <c r="E26" s="21">
        <v>131.28</v>
      </c>
      <c r="F26" s="21">
        <v>120.15</v>
      </c>
      <c r="H26" s="10">
        <f t="shared" si="0"/>
        <v>-8.4780621572212028E-2</v>
      </c>
    </row>
    <row r="27" spans="1:8">
      <c r="A27" s="22">
        <v>45714</v>
      </c>
      <c r="B27" s="21">
        <v>129.99</v>
      </c>
      <c r="C27" s="21">
        <v>133.72999999999999</v>
      </c>
      <c r="D27" s="21">
        <v>128.49</v>
      </c>
      <c r="E27" s="21">
        <v>126.63</v>
      </c>
      <c r="F27" s="21">
        <v>131.28</v>
      </c>
      <c r="H27" s="10">
        <f t="shared" si="0"/>
        <v>3.6721156124141244E-2</v>
      </c>
    </row>
    <row r="28" spans="1:8">
      <c r="A28" s="22">
        <v>45713</v>
      </c>
      <c r="B28" s="21">
        <v>129.97999999999999</v>
      </c>
      <c r="C28" s="21">
        <v>130.19999999999999</v>
      </c>
      <c r="D28" s="21">
        <v>124.44</v>
      </c>
      <c r="E28" s="21">
        <v>130.28</v>
      </c>
      <c r="F28" s="21">
        <v>126.63</v>
      </c>
      <c r="H28" s="10">
        <f t="shared" si="0"/>
        <v>-2.8016579674547171E-2</v>
      </c>
    </row>
    <row r="29" spans="1:8">
      <c r="A29" s="22">
        <v>45712</v>
      </c>
      <c r="B29" s="21">
        <v>136.56</v>
      </c>
      <c r="C29" s="21">
        <v>138.59</v>
      </c>
      <c r="D29" s="21">
        <v>130.08000000000001</v>
      </c>
      <c r="E29" s="21">
        <v>134.43</v>
      </c>
      <c r="F29" s="21">
        <v>130.28</v>
      </c>
      <c r="H29" s="10">
        <f t="shared" si="0"/>
        <v>-3.0871085323216585E-2</v>
      </c>
    </row>
    <row r="30" spans="1:8">
      <c r="A30" s="22">
        <v>45709</v>
      </c>
      <c r="B30" s="21">
        <v>140.04</v>
      </c>
      <c r="C30" s="21">
        <v>141.46</v>
      </c>
      <c r="D30" s="21">
        <v>134.03</v>
      </c>
      <c r="E30" s="21">
        <v>140.11000000000001</v>
      </c>
      <c r="F30" s="21">
        <v>134.43</v>
      </c>
      <c r="H30" s="10">
        <f t="shared" si="0"/>
        <v>-4.0539576047391383E-2</v>
      </c>
    </row>
    <row r="31" spans="1:8">
      <c r="A31" s="22">
        <v>45708</v>
      </c>
      <c r="B31" s="21">
        <v>140.03</v>
      </c>
      <c r="C31" s="21">
        <v>140.66</v>
      </c>
      <c r="D31" s="21">
        <v>136.79</v>
      </c>
      <c r="E31" s="21">
        <v>139.22999999999999</v>
      </c>
      <c r="F31" s="21">
        <v>140.11000000000001</v>
      </c>
      <c r="H31" s="10">
        <f t="shared" si="0"/>
        <v>6.3204769087123747E-3</v>
      </c>
    </row>
    <row r="32" spans="1:8">
      <c r="A32" s="22">
        <v>45707</v>
      </c>
      <c r="B32" s="21">
        <v>139.51</v>
      </c>
      <c r="C32" s="21">
        <v>141.36000000000001</v>
      </c>
      <c r="D32" s="21">
        <v>137.22</v>
      </c>
      <c r="E32" s="21">
        <v>139.4</v>
      </c>
      <c r="F32" s="21">
        <v>139.22999999999999</v>
      </c>
      <c r="H32" s="10">
        <f t="shared" si="0"/>
        <v>-1.2195121951220653E-3</v>
      </c>
    </row>
    <row r="33" spans="1:8">
      <c r="A33" s="22">
        <v>45706</v>
      </c>
      <c r="B33" s="21">
        <v>141.27000000000001</v>
      </c>
      <c r="C33" s="21">
        <v>143.44</v>
      </c>
      <c r="D33" s="21">
        <v>137.93</v>
      </c>
      <c r="E33" s="21">
        <v>138.85</v>
      </c>
      <c r="F33" s="21">
        <v>139.4</v>
      </c>
      <c r="H33" s="10">
        <f t="shared" si="0"/>
        <v>3.9611091105510362E-3</v>
      </c>
    </row>
    <row r="34" spans="1:8">
      <c r="A34" s="22">
        <v>45702</v>
      </c>
      <c r="B34" s="21">
        <v>136.47999999999999</v>
      </c>
      <c r="C34" s="21">
        <v>139.25</v>
      </c>
      <c r="D34" s="21">
        <v>135.5</v>
      </c>
      <c r="E34" s="21">
        <v>135.29</v>
      </c>
      <c r="F34" s="21">
        <v>138.85</v>
      </c>
      <c r="H34" s="10">
        <f t="shared" si="0"/>
        <v>2.6313844334392805E-2</v>
      </c>
    </row>
    <row r="35" spans="1:8">
      <c r="A35" s="22">
        <v>45701</v>
      </c>
      <c r="B35" s="21">
        <v>131.56</v>
      </c>
      <c r="C35" s="21">
        <v>136.5</v>
      </c>
      <c r="D35" s="21">
        <v>131.16999999999999</v>
      </c>
      <c r="E35" s="21">
        <v>131.13999999999999</v>
      </c>
      <c r="F35" s="21">
        <v>135.29</v>
      </c>
      <c r="H35" s="10">
        <f t="shared" si="0"/>
        <v>3.1645569620253208E-2</v>
      </c>
    </row>
    <row r="36" spans="1:8">
      <c r="A36" s="22">
        <v>45700</v>
      </c>
      <c r="B36" s="21">
        <v>130.02000000000001</v>
      </c>
      <c r="C36" s="21">
        <v>132.24</v>
      </c>
      <c r="D36" s="21">
        <v>129.08000000000001</v>
      </c>
      <c r="E36" s="21">
        <v>132.80000000000001</v>
      </c>
      <c r="F36" s="21">
        <v>131.13999999999999</v>
      </c>
      <c r="H36" s="10">
        <f t="shared" si="0"/>
        <v>-1.2500000000000188E-2</v>
      </c>
    </row>
    <row r="37" spans="1:8">
      <c r="A37" s="22">
        <v>45699</v>
      </c>
      <c r="B37" s="21">
        <v>132.58000000000001</v>
      </c>
      <c r="C37" s="21">
        <v>134.47999999999999</v>
      </c>
      <c r="D37" s="21">
        <v>131.02000000000001</v>
      </c>
      <c r="E37" s="21">
        <v>133.57</v>
      </c>
      <c r="F37" s="21">
        <v>132.80000000000001</v>
      </c>
      <c r="H37" s="10">
        <f t="shared" si="0"/>
        <v>-5.7647675376205874E-3</v>
      </c>
    </row>
    <row r="38" spans="1:8">
      <c r="A38" s="22">
        <v>45698</v>
      </c>
      <c r="B38" s="21">
        <v>130.09</v>
      </c>
      <c r="C38" s="21">
        <v>135</v>
      </c>
      <c r="D38" s="21">
        <v>129.96</v>
      </c>
      <c r="E38" s="21">
        <v>129.84</v>
      </c>
      <c r="F38" s="21">
        <v>133.57</v>
      </c>
      <c r="H38" s="10">
        <f t="shared" si="0"/>
        <v>2.8727664818237752E-2</v>
      </c>
    </row>
    <row r="39" spans="1:8">
      <c r="A39" s="22">
        <v>45695</v>
      </c>
      <c r="B39" s="21">
        <v>129.22</v>
      </c>
      <c r="C39" s="21">
        <v>130.37</v>
      </c>
      <c r="D39" s="21">
        <v>125</v>
      </c>
      <c r="E39" s="21">
        <v>128.68</v>
      </c>
      <c r="F39" s="21">
        <v>129.84</v>
      </c>
      <c r="H39" s="10">
        <f t="shared" si="0"/>
        <v>9.0146098849859854E-3</v>
      </c>
    </row>
    <row r="40" spans="1:8">
      <c r="A40" s="22">
        <v>45694</v>
      </c>
      <c r="B40" s="21">
        <v>127.42</v>
      </c>
      <c r="C40" s="21">
        <v>128.77000000000001</v>
      </c>
      <c r="D40" s="21">
        <v>125.21</v>
      </c>
      <c r="E40" s="21">
        <v>124.83</v>
      </c>
      <c r="F40" s="21">
        <v>128.68</v>
      </c>
      <c r="H40" s="10">
        <f t="shared" si="0"/>
        <v>3.0841945045261623E-2</v>
      </c>
    </row>
    <row r="41" spans="1:8">
      <c r="A41" s="22">
        <v>45693</v>
      </c>
      <c r="B41" s="21">
        <v>121.76</v>
      </c>
      <c r="C41" s="21">
        <v>125</v>
      </c>
      <c r="D41" s="21">
        <v>120.76</v>
      </c>
      <c r="E41" s="21">
        <v>118.65</v>
      </c>
      <c r="F41" s="21">
        <v>124.83</v>
      </c>
      <c r="H41" s="10">
        <f t="shared" si="0"/>
        <v>5.208596713021485E-2</v>
      </c>
    </row>
    <row r="42" spans="1:8">
      <c r="A42" s="22">
        <v>45692</v>
      </c>
      <c r="B42" s="21">
        <v>116.96</v>
      </c>
      <c r="C42" s="21">
        <v>121.2</v>
      </c>
      <c r="D42" s="21">
        <v>116.7</v>
      </c>
      <c r="E42" s="21">
        <v>116.66</v>
      </c>
      <c r="F42" s="21">
        <v>118.65</v>
      </c>
      <c r="H42" s="10">
        <f t="shared" si="0"/>
        <v>1.7058117606720463E-2</v>
      </c>
    </row>
    <row r="43" spans="1:8">
      <c r="A43" s="22">
        <v>45691</v>
      </c>
      <c r="B43" s="21">
        <v>114.75</v>
      </c>
      <c r="C43" s="21">
        <v>118.57</v>
      </c>
      <c r="D43" s="21">
        <v>113.01</v>
      </c>
      <c r="E43" s="21">
        <v>120.07</v>
      </c>
      <c r="F43" s="21">
        <v>116.66</v>
      </c>
      <c r="H43" s="10">
        <f t="shared" si="0"/>
        <v>-2.8400099941700646E-2</v>
      </c>
    </row>
    <row r="44" spans="1:8">
      <c r="A44" s="22">
        <v>45688</v>
      </c>
      <c r="B44" s="21">
        <v>123.78</v>
      </c>
      <c r="C44" s="21">
        <v>127.85</v>
      </c>
      <c r="D44" s="21">
        <v>119.19</v>
      </c>
      <c r="E44" s="21">
        <v>124.65</v>
      </c>
      <c r="F44" s="21">
        <v>120.07</v>
      </c>
      <c r="H44" s="10">
        <f t="shared" si="0"/>
        <v>-3.6742880064179799E-2</v>
      </c>
    </row>
    <row r="45" spans="1:8">
      <c r="A45" s="22">
        <v>45687</v>
      </c>
      <c r="B45" s="21">
        <v>123.1</v>
      </c>
      <c r="C45" s="21">
        <v>125</v>
      </c>
      <c r="D45" s="21">
        <v>118.1</v>
      </c>
      <c r="E45" s="21">
        <v>123.7</v>
      </c>
      <c r="F45" s="21">
        <v>124.65</v>
      </c>
      <c r="H45" s="10">
        <f t="shared" si="0"/>
        <v>7.6798706548100474E-3</v>
      </c>
    </row>
    <row r="46" spans="1:8">
      <c r="A46" s="22">
        <v>45686</v>
      </c>
      <c r="B46" s="21">
        <v>126.5</v>
      </c>
      <c r="C46" s="21">
        <v>126.89</v>
      </c>
      <c r="D46" s="21">
        <v>120.05</v>
      </c>
      <c r="E46" s="21">
        <v>128.99</v>
      </c>
      <c r="F46" s="21">
        <v>123.7</v>
      </c>
      <c r="H46" s="10">
        <f t="shared" si="0"/>
        <v>-4.1010931079928724E-2</v>
      </c>
    </row>
    <row r="47" spans="1:8">
      <c r="A47" s="22">
        <v>45685</v>
      </c>
      <c r="B47" s="21">
        <v>121.81</v>
      </c>
      <c r="C47" s="21">
        <v>129</v>
      </c>
      <c r="D47" s="21">
        <v>116.25</v>
      </c>
      <c r="E47" s="21">
        <v>118.42</v>
      </c>
      <c r="F47" s="21">
        <v>128.99</v>
      </c>
      <c r="H47" s="10">
        <f t="shared" si="0"/>
        <v>8.9258571187299504E-2</v>
      </c>
    </row>
    <row r="48" spans="1:8">
      <c r="A48" s="22">
        <v>45684</v>
      </c>
      <c r="B48" s="21">
        <v>124.8</v>
      </c>
      <c r="C48" s="21">
        <v>128.4</v>
      </c>
      <c r="D48" s="21">
        <v>116.7</v>
      </c>
      <c r="E48" s="21">
        <v>142.62</v>
      </c>
      <c r="F48" s="21">
        <v>118.42</v>
      </c>
      <c r="H48" s="10">
        <f t="shared" si="0"/>
        <v>-0.1696816715748142</v>
      </c>
    </row>
    <row r="49" spans="1:8">
      <c r="A49" s="22">
        <v>45681</v>
      </c>
      <c r="B49" s="21">
        <v>148.37</v>
      </c>
      <c r="C49" s="21">
        <v>148.97</v>
      </c>
      <c r="D49" s="21">
        <v>141.88</v>
      </c>
      <c r="E49" s="21">
        <v>147.22</v>
      </c>
      <c r="F49" s="21">
        <v>142.62</v>
      </c>
      <c r="H49" s="10">
        <f t="shared" si="0"/>
        <v>-3.1245754652900384E-2</v>
      </c>
    </row>
    <row r="50" spans="1:8">
      <c r="A50" s="22">
        <v>45680</v>
      </c>
      <c r="B50" s="21">
        <v>145.05000000000001</v>
      </c>
      <c r="C50" s="21">
        <v>147.22999999999999</v>
      </c>
      <c r="D50" s="21">
        <v>143.72</v>
      </c>
      <c r="E50" s="21">
        <v>147.07</v>
      </c>
      <c r="F50" s="21">
        <v>147.22</v>
      </c>
      <c r="H50" s="10">
        <f t="shared" si="0"/>
        <v>1.0199224858911109E-3</v>
      </c>
    </row>
    <row r="51" spans="1:8">
      <c r="A51" s="22">
        <v>45679</v>
      </c>
      <c r="B51" s="21">
        <v>144.66</v>
      </c>
      <c r="C51" s="21">
        <v>147.79</v>
      </c>
      <c r="D51" s="21">
        <v>143.66999999999999</v>
      </c>
      <c r="E51" s="21">
        <v>140.83000000000001</v>
      </c>
      <c r="F51" s="21">
        <v>147.07</v>
      </c>
      <c r="H51" s="10">
        <f t="shared" si="0"/>
        <v>4.4308741035290637E-2</v>
      </c>
    </row>
    <row r="52" spans="1:8">
      <c r="A52" s="22">
        <v>45678</v>
      </c>
      <c r="B52" s="21">
        <v>139.16</v>
      </c>
      <c r="C52" s="21">
        <v>141.83000000000001</v>
      </c>
      <c r="D52" s="21">
        <v>137.09</v>
      </c>
      <c r="E52" s="21">
        <v>137.71</v>
      </c>
      <c r="F52" s="21">
        <v>140.83000000000001</v>
      </c>
      <c r="H52" s="10">
        <f t="shared" si="0"/>
        <v>2.2656306731537321E-2</v>
      </c>
    </row>
    <row r="53" spans="1:8">
      <c r="A53" s="22">
        <v>45674</v>
      </c>
      <c r="B53" s="21">
        <v>136.69</v>
      </c>
      <c r="C53" s="21">
        <v>138.5</v>
      </c>
      <c r="D53" s="21">
        <v>135.46</v>
      </c>
      <c r="E53" s="21">
        <v>133.57</v>
      </c>
      <c r="F53" s="21">
        <v>137.71</v>
      </c>
      <c r="H53" s="10">
        <f t="shared" si="0"/>
        <v>3.0994983903571274E-2</v>
      </c>
    </row>
    <row r="54" spans="1:8">
      <c r="A54" s="22">
        <v>45673</v>
      </c>
      <c r="B54" s="21">
        <v>138.63999999999999</v>
      </c>
      <c r="C54" s="21">
        <v>138.75</v>
      </c>
      <c r="D54" s="21">
        <v>133.49</v>
      </c>
      <c r="E54" s="21">
        <v>136.24</v>
      </c>
      <c r="F54" s="21">
        <v>133.57</v>
      </c>
      <c r="H54" s="10">
        <f t="shared" si="0"/>
        <v>-1.9597768643570285E-2</v>
      </c>
    </row>
    <row r="55" spans="1:8">
      <c r="A55" s="22">
        <v>45672</v>
      </c>
      <c r="B55" s="21">
        <v>133.65</v>
      </c>
      <c r="C55" s="21">
        <v>136.44999999999999</v>
      </c>
      <c r="D55" s="21">
        <v>131.29</v>
      </c>
      <c r="E55" s="21">
        <v>131.76</v>
      </c>
      <c r="F55" s="21">
        <v>136.24</v>
      </c>
      <c r="H55" s="10">
        <f t="shared" si="0"/>
        <v>3.4001214329083325E-2</v>
      </c>
    </row>
    <row r="56" spans="1:8">
      <c r="A56" s="22">
        <v>45671</v>
      </c>
      <c r="B56" s="21">
        <v>136.05000000000001</v>
      </c>
      <c r="C56" s="21">
        <v>136.38</v>
      </c>
      <c r="D56" s="21">
        <v>130.05000000000001</v>
      </c>
      <c r="E56" s="21">
        <v>133.22999999999999</v>
      </c>
      <c r="F56" s="21">
        <v>131.76</v>
      </c>
      <c r="H56" s="10">
        <f t="shared" si="0"/>
        <v>-1.1033551002026564E-2</v>
      </c>
    </row>
    <row r="57" spans="1:8">
      <c r="A57" s="22">
        <v>45670</v>
      </c>
      <c r="B57" s="21">
        <v>129.99</v>
      </c>
      <c r="C57" s="21">
        <v>133.49</v>
      </c>
      <c r="D57" s="21">
        <v>129.51</v>
      </c>
      <c r="E57" s="21">
        <v>135.91</v>
      </c>
      <c r="F57" s="21">
        <v>133.22999999999999</v>
      </c>
      <c r="H57" s="10">
        <f t="shared" si="0"/>
        <v>-1.9718931645942218E-2</v>
      </c>
    </row>
    <row r="58" spans="1:8">
      <c r="A58" s="22">
        <v>45667</v>
      </c>
      <c r="B58" s="21">
        <v>137.44999999999999</v>
      </c>
      <c r="C58" s="21">
        <v>139.91999999999999</v>
      </c>
      <c r="D58" s="21">
        <v>134.22</v>
      </c>
      <c r="E58" s="21">
        <v>140.11000000000001</v>
      </c>
      <c r="F58" s="21">
        <v>135.91</v>
      </c>
      <c r="H58" s="10">
        <f t="shared" si="0"/>
        <v>-2.997644707729653E-2</v>
      </c>
    </row>
    <row r="59" spans="1:8">
      <c r="A59" s="22">
        <v>45665</v>
      </c>
      <c r="B59" s="21">
        <v>142.58000000000001</v>
      </c>
      <c r="C59" s="21">
        <v>143.94999999999999</v>
      </c>
      <c r="D59" s="21">
        <v>137.56</v>
      </c>
      <c r="E59" s="21">
        <v>140.13999999999999</v>
      </c>
      <c r="F59" s="21">
        <v>140.11000000000001</v>
      </c>
      <c r="H59" s="10">
        <f t="shared" si="0"/>
        <v>-2.1407164264287653E-4</v>
      </c>
    </row>
    <row r="60" spans="1:8">
      <c r="A60" s="22">
        <v>45664</v>
      </c>
      <c r="B60" s="21">
        <v>153.03</v>
      </c>
      <c r="C60" s="21">
        <v>153.13</v>
      </c>
      <c r="D60" s="21">
        <v>140.01</v>
      </c>
      <c r="E60" s="21">
        <v>149.43</v>
      </c>
      <c r="F60" s="21">
        <v>140.13999999999999</v>
      </c>
      <c r="H60" s="10">
        <f t="shared" si="0"/>
        <v>-6.2169577728702539E-2</v>
      </c>
    </row>
    <row r="61" spans="1:8">
      <c r="A61" s="22">
        <v>45663</v>
      </c>
      <c r="B61" s="21">
        <v>148.59</v>
      </c>
      <c r="C61" s="21">
        <v>152.16</v>
      </c>
      <c r="D61" s="21">
        <v>147.82</v>
      </c>
      <c r="E61" s="21">
        <v>144.47</v>
      </c>
      <c r="F61" s="21">
        <v>149.43</v>
      </c>
      <c r="H61" s="10">
        <f t="shared" si="0"/>
        <v>3.4332387346854072E-2</v>
      </c>
    </row>
    <row r="62" spans="1:8">
      <c r="A62" s="22">
        <v>45660</v>
      </c>
      <c r="B62" s="21">
        <v>140.01</v>
      </c>
      <c r="C62" s="21">
        <v>144.9</v>
      </c>
      <c r="D62" s="21">
        <v>139.72999999999999</v>
      </c>
      <c r="E62" s="21">
        <v>138.31</v>
      </c>
      <c r="F62" s="21">
        <v>144.47</v>
      </c>
      <c r="H62" s="10">
        <f t="shared" si="0"/>
        <v>4.4537632853734341E-2</v>
      </c>
    </row>
    <row r="63" spans="1:8">
      <c r="A63" s="22">
        <v>45659</v>
      </c>
      <c r="B63" s="21">
        <v>136</v>
      </c>
      <c r="C63" s="21">
        <v>138.88</v>
      </c>
      <c r="D63" s="21">
        <v>134.63</v>
      </c>
      <c r="E63" s="21">
        <v>134.29</v>
      </c>
      <c r="F63" s="21">
        <v>138.31</v>
      </c>
      <c r="H63" s="10">
        <f t="shared" si="0"/>
        <v>2.9935214833569219E-2</v>
      </c>
    </row>
    <row r="64" spans="1:8">
      <c r="A64" s="22">
        <v>45657</v>
      </c>
      <c r="B64" s="21">
        <v>138.03</v>
      </c>
      <c r="C64" s="21">
        <v>138.07</v>
      </c>
      <c r="D64" s="21">
        <v>133.83000000000001</v>
      </c>
      <c r="E64" s="21">
        <v>137.49</v>
      </c>
      <c r="F64" s="21">
        <v>134.29</v>
      </c>
      <c r="H64" s="10">
        <f t="shared" si="0"/>
        <v>-2.3274419957815238E-2</v>
      </c>
    </row>
    <row r="65" spans="1:8">
      <c r="A65" s="22">
        <v>45656</v>
      </c>
      <c r="B65" s="21">
        <v>134.83000000000001</v>
      </c>
      <c r="C65" s="21">
        <v>140.27000000000001</v>
      </c>
      <c r="D65" s="21">
        <v>134.02000000000001</v>
      </c>
      <c r="E65" s="21">
        <v>137.01</v>
      </c>
      <c r="F65" s="21">
        <v>137.49</v>
      </c>
      <c r="H65" s="10">
        <f t="shared" si="0"/>
        <v>3.5033939128532093E-3</v>
      </c>
    </row>
    <row r="66" spans="1:8">
      <c r="A66" s="22">
        <v>45653</v>
      </c>
      <c r="B66" s="21">
        <v>138.55000000000001</v>
      </c>
      <c r="C66" s="21">
        <v>139.02000000000001</v>
      </c>
      <c r="D66" s="21">
        <v>134.71</v>
      </c>
      <c r="E66" s="21">
        <v>139.93</v>
      </c>
      <c r="F66" s="21">
        <v>137.01</v>
      </c>
      <c r="H66" s="10">
        <f t="shared" si="0"/>
        <v>-2.0867576645465704E-2</v>
      </c>
    </row>
    <row r="67" spans="1:8">
      <c r="A67" s="22">
        <v>45652</v>
      </c>
      <c r="B67" s="21">
        <v>139.69999999999999</v>
      </c>
      <c r="C67" s="21">
        <v>140.85</v>
      </c>
      <c r="D67" s="21">
        <v>137.72999999999999</v>
      </c>
      <c r="E67" s="21">
        <v>140.22</v>
      </c>
      <c r="F67" s="21">
        <v>139.93</v>
      </c>
      <c r="H67" s="10">
        <f t="shared" si="0"/>
        <v>-2.0681785765225506E-3</v>
      </c>
    </row>
    <row r="68" spans="1:8">
      <c r="A68" s="22">
        <v>45650</v>
      </c>
      <c r="B68" s="21">
        <v>140</v>
      </c>
      <c r="C68" s="21">
        <v>141.9</v>
      </c>
      <c r="D68" s="21">
        <v>138.65</v>
      </c>
      <c r="E68" s="21">
        <v>139.66999999999999</v>
      </c>
      <c r="F68" s="21">
        <v>140.22</v>
      </c>
      <c r="H68" s="10">
        <f t="shared" si="0"/>
        <v>3.9378535118494411E-3</v>
      </c>
    </row>
    <row r="69" spans="1:8">
      <c r="A69" s="22">
        <v>45649</v>
      </c>
      <c r="B69" s="21">
        <v>136.28</v>
      </c>
      <c r="C69" s="21">
        <v>139.79</v>
      </c>
      <c r="D69" s="21">
        <v>135.12</v>
      </c>
      <c r="E69" s="21">
        <v>134.69999999999999</v>
      </c>
      <c r="F69" s="21">
        <v>139.66999999999999</v>
      </c>
      <c r="H69" s="10">
        <f t="shared" ref="H69:H132" si="1">(F69-E69)/E69</f>
        <v>3.6896807720861166E-2</v>
      </c>
    </row>
    <row r="70" spans="1:8">
      <c r="A70" s="22">
        <v>45646</v>
      </c>
      <c r="B70" s="21">
        <v>129.81</v>
      </c>
      <c r="C70" s="21">
        <v>135.28</v>
      </c>
      <c r="D70" s="21">
        <v>128.22</v>
      </c>
      <c r="E70" s="21">
        <v>130.68</v>
      </c>
      <c r="F70" s="21">
        <v>134.69999999999999</v>
      </c>
      <c r="H70" s="10">
        <f t="shared" si="1"/>
        <v>3.076216712580335E-2</v>
      </c>
    </row>
    <row r="71" spans="1:8">
      <c r="A71" s="22">
        <v>45645</v>
      </c>
      <c r="B71" s="21">
        <v>131.76</v>
      </c>
      <c r="C71" s="21">
        <v>134.03</v>
      </c>
      <c r="D71" s="21">
        <v>129.55000000000001</v>
      </c>
      <c r="E71" s="21">
        <v>128.91</v>
      </c>
      <c r="F71" s="21">
        <v>130.68</v>
      </c>
      <c r="H71" s="10">
        <f t="shared" si="1"/>
        <v>1.373050965790094E-2</v>
      </c>
    </row>
    <row r="72" spans="1:8">
      <c r="A72" s="22">
        <v>45644</v>
      </c>
      <c r="B72" s="21">
        <v>133.86000000000001</v>
      </c>
      <c r="C72" s="21">
        <v>136.69999999999999</v>
      </c>
      <c r="D72" s="21">
        <v>128.28</v>
      </c>
      <c r="E72" s="21">
        <v>130.38999999999999</v>
      </c>
      <c r="F72" s="21">
        <v>128.91</v>
      </c>
      <c r="H72" s="10">
        <f t="shared" si="1"/>
        <v>-1.1350563693534703E-2</v>
      </c>
    </row>
    <row r="73" spans="1:8">
      <c r="A73" s="22">
        <v>45643</v>
      </c>
      <c r="B73" s="21">
        <v>129.09</v>
      </c>
      <c r="C73" s="21">
        <v>131.59</v>
      </c>
      <c r="D73" s="21">
        <v>126.86</v>
      </c>
      <c r="E73" s="21">
        <v>132</v>
      </c>
      <c r="F73" s="21">
        <v>130.38999999999999</v>
      </c>
      <c r="H73" s="10">
        <f t="shared" si="1"/>
        <v>-1.21969696969698E-2</v>
      </c>
    </row>
    <row r="74" spans="1:8">
      <c r="A74" s="22">
        <v>45642</v>
      </c>
      <c r="B74" s="21">
        <v>134.18</v>
      </c>
      <c r="C74" s="21">
        <v>134.4</v>
      </c>
      <c r="D74" s="21">
        <v>130.41999999999999</v>
      </c>
      <c r="E74" s="21">
        <v>134.25</v>
      </c>
      <c r="F74" s="21">
        <v>132</v>
      </c>
      <c r="H74" s="10">
        <f t="shared" si="1"/>
        <v>-1.6759776536312849E-2</v>
      </c>
    </row>
    <row r="75" spans="1:8">
      <c r="A75" s="22">
        <v>45639</v>
      </c>
      <c r="B75" s="21">
        <v>138.94</v>
      </c>
      <c r="C75" s="21">
        <v>139.6</v>
      </c>
      <c r="D75" s="21">
        <v>132.54</v>
      </c>
      <c r="E75" s="21">
        <v>137.34</v>
      </c>
      <c r="F75" s="21">
        <v>134.25</v>
      </c>
      <c r="H75" s="10">
        <f t="shared" si="1"/>
        <v>-2.2498907820008761E-2</v>
      </c>
    </row>
    <row r="76" spans="1:8">
      <c r="A76" s="22">
        <v>45638</v>
      </c>
      <c r="B76" s="21">
        <v>137.08000000000001</v>
      </c>
      <c r="C76" s="21">
        <v>138.44</v>
      </c>
      <c r="D76" s="21">
        <v>135.80000000000001</v>
      </c>
      <c r="E76" s="21">
        <v>139.31</v>
      </c>
      <c r="F76" s="21">
        <v>137.34</v>
      </c>
      <c r="H76" s="10">
        <f t="shared" si="1"/>
        <v>-1.4141124111693337E-2</v>
      </c>
    </row>
    <row r="77" spans="1:8">
      <c r="A77" s="22">
        <v>45637</v>
      </c>
      <c r="B77" s="21">
        <v>137.36000000000001</v>
      </c>
      <c r="C77" s="21">
        <v>140.16999999999999</v>
      </c>
      <c r="D77" s="21">
        <v>135.21</v>
      </c>
      <c r="E77" s="21">
        <v>135.07</v>
      </c>
      <c r="F77" s="21">
        <v>139.31</v>
      </c>
      <c r="H77" s="10">
        <f t="shared" si="1"/>
        <v>3.1391130524913075E-2</v>
      </c>
    </row>
    <row r="78" spans="1:8">
      <c r="A78" s="22">
        <v>45636</v>
      </c>
      <c r="B78" s="21">
        <v>139.01</v>
      </c>
      <c r="C78" s="21">
        <v>141.82</v>
      </c>
      <c r="D78" s="21">
        <v>133.79</v>
      </c>
      <c r="E78" s="21">
        <v>138.81</v>
      </c>
      <c r="F78" s="21">
        <v>135.07</v>
      </c>
      <c r="H78" s="10">
        <f t="shared" si="1"/>
        <v>-2.694330379655651E-2</v>
      </c>
    </row>
    <row r="79" spans="1:8">
      <c r="A79" s="22">
        <v>45635</v>
      </c>
      <c r="B79" s="21">
        <v>138.97</v>
      </c>
      <c r="C79" s="21">
        <v>139.94999999999999</v>
      </c>
      <c r="D79" s="21">
        <v>137.13</v>
      </c>
      <c r="E79" s="21">
        <v>142.44</v>
      </c>
      <c r="F79" s="21">
        <v>138.81</v>
      </c>
      <c r="H79" s="10">
        <f t="shared" si="1"/>
        <v>-2.5484414490311677E-2</v>
      </c>
    </row>
    <row r="80" spans="1:8">
      <c r="A80" s="22">
        <v>45632</v>
      </c>
      <c r="B80" s="21">
        <v>144.6</v>
      </c>
      <c r="C80" s="21">
        <v>145.69999999999999</v>
      </c>
      <c r="D80" s="21">
        <v>141.31</v>
      </c>
      <c r="E80" s="21">
        <v>145.06</v>
      </c>
      <c r="F80" s="21">
        <v>142.44</v>
      </c>
      <c r="H80" s="10">
        <f t="shared" si="1"/>
        <v>-1.8061491796498033E-2</v>
      </c>
    </row>
    <row r="81" spans="1:8">
      <c r="A81" s="22">
        <v>45631</v>
      </c>
      <c r="B81" s="21">
        <v>145.11000000000001</v>
      </c>
      <c r="C81" s="21">
        <v>146.54</v>
      </c>
      <c r="D81" s="21">
        <v>143.94999999999999</v>
      </c>
      <c r="E81" s="21">
        <v>145.13999999999999</v>
      </c>
      <c r="F81" s="21">
        <v>145.06</v>
      </c>
      <c r="H81" s="10">
        <f t="shared" si="1"/>
        <v>-5.5119195259738251E-4</v>
      </c>
    </row>
    <row r="82" spans="1:8">
      <c r="A82" s="22">
        <v>45630</v>
      </c>
      <c r="B82" s="21">
        <v>142</v>
      </c>
      <c r="C82" s="21">
        <v>145.79</v>
      </c>
      <c r="D82" s="21">
        <v>140.29</v>
      </c>
      <c r="E82" s="21">
        <v>140.26</v>
      </c>
      <c r="F82" s="21">
        <v>145.13999999999999</v>
      </c>
      <c r="H82" s="10">
        <f t="shared" si="1"/>
        <v>3.4792528161984852E-2</v>
      </c>
    </row>
    <row r="83" spans="1:8">
      <c r="A83" s="22">
        <v>45629</v>
      </c>
      <c r="B83" s="21">
        <v>138.26</v>
      </c>
      <c r="C83" s="21">
        <v>140.54</v>
      </c>
      <c r="D83" s="21">
        <v>137.94999999999999</v>
      </c>
      <c r="E83" s="21">
        <v>138.63</v>
      </c>
      <c r="F83" s="21">
        <v>140.26</v>
      </c>
      <c r="H83" s="10">
        <f t="shared" si="1"/>
        <v>1.1757916756834708E-2</v>
      </c>
    </row>
    <row r="84" spans="1:8">
      <c r="A84" s="22">
        <v>45628</v>
      </c>
      <c r="B84" s="21">
        <v>138.83000000000001</v>
      </c>
      <c r="C84" s="21">
        <v>140.44999999999999</v>
      </c>
      <c r="D84" s="21">
        <v>137.83000000000001</v>
      </c>
      <c r="E84" s="21">
        <v>138.25</v>
      </c>
      <c r="F84" s="21">
        <v>138.63</v>
      </c>
      <c r="H84" s="10">
        <f t="shared" si="1"/>
        <v>2.7486437613019562E-3</v>
      </c>
    </row>
    <row r="85" spans="1:8">
      <c r="A85" s="22">
        <v>45625</v>
      </c>
      <c r="B85" s="21">
        <v>136.78</v>
      </c>
      <c r="C85" s="21">
        <v>139.35</v>
      </c>
      <c r="D85" s="21">
        <v>136.05000000000001</v>
      </c>
      <c r="E85" s="21">
        <v>135.34</v>
      </c>
      <c r="F85" s="21">
        <v>138.25</v>
      </c>
      <c r="H85" s="10">
        <f t="shared" si="1"/>
        <v>2.150140387173043E-2</v>
      </c>
    </row>
    <row r="86" spans="1:8">
      <c r="A86" s="22">
        <v>45623</v>
      </c>
      <c r="B86" s="21">
        <v>135.01</v>
      </c>
      <c r="C86" s="21">
        <v>137.22</v>
      </c>
      <c r="D86" s="21">
        <v>131.80000000000001</v>
      </c>
      <c r="E86" s="21">
        <v>136.91999999999999</v>
      </c>
      <c r="F86" s="21">
        <v>135.34</v>
      </c>
      <c r="H86" s="10">
        <f t="shared" si="1"/>
        <v>-1.1539585159216947E-2</v>
      </c>
    </row>
    <row r="87" spans="1:8">
      <c r="A87" s="22">
        <v>45622</v>
      </c>
      <c r="B87" s="21">
        <v>137.69999999999999</v>
      </c>
      <c r="C87" s="21">
        <v>139.30000000000001</v>
      </c>
      <c r="D87" s="21">
        <v>135.66999999999999</v>
      </c>
      <c r="E87" s="21">
        <v>136.02000000000001</v>
      </c>
      <c r="F87" s="21">
        <v>136.91999999999999</v>
      </c>
      <c r="H87" s="10">
        <f t="shared" si="1"/>
        <v>6.6166740185265192E-3</v>
      </c>
    </row>
    <row r="88" spans="1:8">
      <c r="A88" s="22">
        <v>45621</v>
      </c>
      <c r="B88" s="21">
        <v>141.99</v>
      </c>
      <c r="C88" s="21">
        <v>142.05000000000001</v>
      </c>
      <c r="D88" s="21">
        <v>135.82</v>
      </c>
      <c r="E88" s="21">
        <v>141.94999999999999</v>
      </c>
      <c r="F88" s="21">
        <v>136.02000000000001</v>
      </c>
      <c r="H88" s="10">
        <f t="shared" si="1"/>
        <v>-4.1775272983444724E-2</v>
      </c>
    </row>
    <row r="89" spans="1:8">
      <c r="A89" s="22">
        <v>45618</v>
      </c>
      <c r="B89" s="21">
        <v>145.93</v>
      </c>
      <c r="C89" s="21">
        <v>147.16</v>
      </c>
      <c r="D89" s="21">
        <v>141.1</v>
      </c>
      <c r="E89" s="21">
        <v>146.66999999999999</v>
      </c>
      <c r="F89" s="21">
        <v>141.94999999999999</v>
      </c>
      <c r="H89" s="10">
        <f t="shared" si="1"/>
        <v>-3.2181086793481958E-2</v>
      </c>
    </row>
    <row r="90" spans="1:8">
      <c r="A90" s="22">
        <v>45617</v>
      </c>
      <c r="B90" s="21">
        <v>149.35</v>
      </c>
      <c r="C90" s="21">
        <v>152.88999999999999</v>
      </c>
      <c r="D90" s="21">
        <v>140.69999999999999</v>
      </c>
      <c r="E90" s="21">
        <v>145.88999999999999</v>
      </c>
      <c r="F90" s="21">
        <v>146.66999999999999</v>
      </c>
      <c r="H90" s="10">
        <f t="shared" si="1"/>
        <v>5.346493933785737E-3</v>
      </c>
    </row>
    <row r="91" spans="1:8">
      <c r="A91" s="22">
        <v>45616</v>
      </c>
      <c r="B91" s="21">
        <v>147.41</v>
      </c>
      <c r="C91" s="21">
        <v>147.56</v>
      </c>
      <c r="D91" s="21">
        <v>142.72999999999999</v>
      </c>
      <c r="E91" s="21">
        <v>147.01</v>
      </c>
      <c r="F91" s="21">
        <v>145.88999999999999</v>
      </c>
      <c r="H91" s="10">
        <f t="shared" si="1"/>
        <v>-7.618529351744811E-3</v>
      </c>
    </row>
    <row r="92" spans="1:8">
      <c r="A92" s="22">
        <v>45615</v>
      </c>
      <c r="B92" s="21">
        <v>141.32</v>
      </c>
      <c r="C92" s="21">
        <v>147.13</v>
      </c>
      <c r="D92" s="21">
        <v>140.99</v>
      </c>
      <c r="E92" s="21">
        <v>140.15</v>
      </c>
      <c r="F92" s="21">
        <v>147.01</v>
      </c>
      <c r="H92" s="10">
        <f t="shared" si="1"/>
        <v>4.8947556189796536E-2</v>
      </c>
    </row>
    <row r="93" spans="1:8">
      <c r="A93" s="22">
        <v>45614</v>
      </c>
      <c r="B93" s="21">
        <v>139.5</v>
      </c>
      <c r="C93" s="21">
        <v>141.55000000000001</v>
      </c>
      <c r="D93" s="21">
        <v>137.15</v>
      </c>
      <c r="E93" s="21">
        <v>141.97999999999999</v>
      </c>
      <c r="F93" s="21">
        <v>140.15</v>
      </c>
      <c r="H93" s="10">
        <f t="shared" si="1"/>
        <v>-1.2889139315396423E-2</v>
      </c>
    </row>
    <row r="94" spans="1:8">
      <c r="A94" s="22">
        <v>45611</v>
      </c>
      <c r="B94" s="21">
        <v>144.87</v>
      </c>
      <c r="C94" s="21">
        <v>145.24</v>
      </c>
      <c r="D94" s="21">
        <v>140.08000000000001</v>
      </c>
      <c r="E94" s="21">
        <v>146.76</v>
      </c>
      <c r="F94" s="21">
        <v>141.97999999999999</v>
      </c>
      <c r="H94" s="10">
        <f t="shared" si="1"/>
        <v>-3.2570182611065694E-2</v>
      </c>
    </row>
    <row r="95" spans="1:8">
      <c r="A95" s="22">
        <v>45610</v>
      </c>
      <c r="B95" s="21">
        <v>147.63999999999999</v>
      </c>
      <c r="C95" s="21">
        <v>149</v>
      </c>
      <c r="D95" s="21">
        <v>145.55000000000001</v>
      </c>
      <c r="E95" s="21">
        <v>146.27000000000001</v>
      </c>
      <c r="F95" s="21">
        <v>146.76</v>
      </c>
      <c r="H95" s="10">
        <f t="shared" si="1"/>
        <v>3.349969234976281E-3</v>
      </c>
    </row>
    <row r="96" spans="1:8">
      <c r="A96" s="22">
        <v>45609</v>
      </c>
      <c r="B96" s="21">
        <v>149.07</v>
      </c>
      <c r="C96" s="21">
        <v>149.33000000000001</v>
      </c>
      <c r="D96" s="21">
        <v>145.9</v>
      </c>
      <c r="E96" s="21">
        <v>148.29</v>
      </c>
      <c r="F96" s="21">
        <v>146.27000000000001</v>
      </c>
      <c r="H96" s="10">
        <f t="shared" si="1"/>
        <v>-1.3621956976195171E-2</v>
      </c>
    </row>
    <row r="97" spans="1:8">
      <c r="A97" s="22">
        <v>45608</v>
      </c>
      <c r="B97" s="21">
        <v>146.78</v>
      </c>
      <c r="C97" s="21">
        <v>149.65</v>
      </c>
      <c r="D97" s="21">
        <v>146.01</v>
      </c>
      <c r="E97" s="21">
        <v>145.26</v>
      </c>
      <c r="F97" s="21">
        <v>148.29</v>
      </c>
      <c r="H97" s="10">
        <f t="shared" si="1"/>
        <v>2.0859149111937224E-2</v>
      </c>
    </row>
    <row r="98" spans="1:8">
      <c r="A98" s="22">
        <v>45607</v>
      </c>
      <c r="B98" s="21">
        <v>148.68</v>
      </c>
      <c r="C98" s="21">
        <v>148.85</v>
      </c>
      <c r="D98" s="21">
        <v>143.57</v>
      </c>
      <c r="E98" s="21">
        <v>147.63</v>
      </c>
      <c r="F98" s="21">
        <v>145.26</v>
      </c>
      <c r="H98" s="10">
        <f t="shared" si="1"/>
        <v>-1.6053647632595033E-2</v>
      </c>
    </row>
    <row r="99" spans="1:8">
      <c r="A99" s="22">
        <v>45604</v>
      </c>
      <c r="B99" s="21">
        <v>148.77000000000001</v>
      </c>
      <c r="C99" s="21">
        <v>149.77000000000001</v>
      </c>
      <c r="D99" s="21">
        <v>146.26</v>
      </c>
      <c r="E99" s="21">
        <v>148.88</v>
      </c>
      <c r="F99" s="21">
        <v>147.63</v>
      </c>
      <c r="H99" s="10">
        <f t="shared" si="1"/>
        <v>-8.3960236432025787E-3</v>
      </c>
    </row>
    <row r="100" spans="1:8">
      <c r="A100" s="22">
        <v>45603</v>
      </c>
      <c r="B100" s="21">
        <v>146.38999999999999</v>
      </c>
      <c r="C100" s="21">
        <v>148.93</v>
      </c>
      <c r="D100" s="21">
        <v>146.16999999999999</v>
      </c>
      <c r="E100" s="21">
        <v>145.61000000000001</v>
      </c>
      <c r="F100" s="21">
        <v>148.88</v>
      </c>
      <c r="H100" s="10">
        <f t="shared" si="1"/>
        <v>2.2457248815328491E-2</v>
      </c>
    </row>
    <row r="101" spans="1:8">
      <c r="A101" s="22">
        <v>45602</v>
      </c>
      <c r="B101" s="21">
        <v>142.96</v>
      </c>
      <c r="C101" s="21">
        <v>146.49</v>
      </c>
      <c r="D101" s="21">
        <v>141.96</v>
      </c>
      <c r="E101" s="21">
        <v>139.91</v>
      </c>
      <c r="F101" s="21">
        <v>145.61000000000001</v>
      </c>
      <c r="H101" s="10">
        <f t="shared" si="1"/>
        <v>4.0740476020298885E-2</v>
      </c>
    </row>
    <row r="102" spans="1:8">
      <c r="A102" s="22">
        <v>45601</v>
      </c>
      <c r="B102" s="21">
        <v>137.44999999999999</v>
      </c>
      <c r="C102" s="21">
        <v>140.37</v>
      </c>
      <c r="D102" s="21">
        <v>137.33000000000001</v>
      </c>
      <c r="E102" s="21">
        <v>136.05000000000001</v>
      </c>
      <c r="F102" s="21">
        <v>139.91</v>
      </c>
      <c r="H102" s="10">
        <f t="shared" si="1"/>
        <v>2.8371922087467732E-2</v>
      </c>
    </row>
    <row r="103" spans="1:8">
      <c r="A103" s="22">
        <v>45600</v>
      </c>
      <c r="B103" s="21">
        <v>137.21</v>
      </c>
      <c r="C103" s="21">
        <v>138.96</v>
      </c>
      <c r="D103" s="21">
        <v>135.57</v>
      </c>
      <c r="E103" s="21">
        <v>135.4</v>
      </c>
      <c r="F103" s="21">
        <v>136.05000000000001</v>
      </c>
      <c r="H103" s="10">
        <f t="shared" si="1"/>
        <v>4.8005908419498202E-3</v>
      </c>
    </row>
    <row r="104" spans="1:8">
      <c r="A104" s="22">
        <v>45597</v>
      </c>
      <c r="B104" s="21">
        <v>134.69999999999999</v>
      </c>
      <c r="C104" s="21">
        <v>137.31</v>
      </c>
      <c r="D104" s="21">
        <v>134.57</v>
      </c>
      <c r="E104" s="21">
        <v>132.76</v>
      </c>
      <c r="F104" s="21">
        <v>135.4</v>
      </c>
      <c r="H104" s="10">
        <f t="shared" si="1"/>
        <v>1.9885507683037172E-2</v>
      </c>
    </row>
    <row r="105" spans="1:8">
      <c r="A105" s="22">
        <v>45596</v>
      </c>
      <c r="B105" s="21">
        <v>137.6</v>
      </c>
      <c r="C105" s="21">
        <v>137.61000000000001</v>
      </c>
      <c r="D105" s="21">
        <v>132.11000000000001</v>
      </c>
      <c r="E105" s="21">
        <v>139.34</v>
      </c>
      <c r="F105" s="21">
        <v>132.76</v>
      </c>
      <c r="H105" s="10">
        <f t="shared" si="1"/>
        <v>-4.7222620927228454E-2</v>
      </c>
    </row>
    <row r="106" spans="1:8">
      <c r="A106" s="22">
        <v>45595</v>
      </c>
      <c r="B106" s="21">
        <v>139.54</v>
      </c>
      <c r="C106" s="21">
        <v>140.33000000000001</v>
      </c>
      <c r="D106" s="21">
        <v>136.81</v>
      </c>
      <c r="E106" s="21">
        <v>141.25</v>
      </c>
      <c r="F106" s="21">
        <v>139.34</v>
      </c>
      <c r="H106" s="10">
        <f t="shared" si="1"/>
        <v>-1.3522123893805285E-2</v>
      </c>
    </row>
    <row r="107" spans="1:8">
      <c r="A107" s="22">
        <v>45594</v>
      </c>
      <c r="B107" s="21">
        <v>140.29</v>
      </c>
      <c r="C107" s="21">
        <v>142.26</v>
      </c>
      <c r="D107" s="21">
        <v>138.9</v>
      </c>
      <c r="E107" s="21">
        <v>140.52000000000001</v>
      </c>
      <c r="F107" s="21">
        <v>141.25</v>
      </c>
      <c r="H107" s="10">
        <f t="shared" si="1"/>
        <v>5.1949900370053355E-3</v>
      </c>
    </row>
    <row r="108" spans="1:8">
      <c r="A108" s="22">
        <v>45593</v>
      </c>
      <c r="B108" s="21">
        <v>143</v>
      </c>
      <c r="C108" s="21">
        <v>143.13999999999999</v>
      </c>
      <c r="D108" s="21">
        <v>140.05000000000001</v>
      </c>
      <c r="E108" s="21">
        <v>141.54</v>
      </c>
      <c r="F108" s="21">
        <v>140.52000000000001</v>
      </c>
      <c r="H108" s="10">
        <f t="shared" si="1"/>
        <v>-7.2064434082236952E-3</v>
      </c>
    </row>
    <row r="109" spans="1:8">
      <c r="A109" s="22">
        <v>45590</v>
      </c>
      <c r="B109" s="21">
        <v>140.93</v>
      </c>
      <c r="C109" s="21">
        <v>144.13</v>
      </c>
      <c r="D109" s="21">
        <v>140.80000000000001</v>
      </c>
      <c r="E109" s="21">
        <v>140.41</v>
      </c>
      <c r="F109" s="21">
        <v>141.54</v>
      </c>
      <c r="H109" s="10">
        <f t="shared" si="1"/>
        <v>8.0478598390427702E-3</v>
      </c>
    </row>
    <row r="110" spans="1:8">
      <c r="A110" s="22">
        <v>45589</v>
      </c>
      <c r="B110" s="21">
        <v>140.82</v>
      </c>
      <c r="C110" s="21">
        <v>141.35</v>
      </c>
      <c r="D110" s="21">
        <v>138.46</v>
      </c>
      <c r="E110" s="21">
        <v>139.56</v>
      </c>
      <c r="F110" s="21">
        <v>140.41</v>
      </c>
      <c r="H110" s="10">
        <f t="shared" si="1"/>
        <v>6.0905703640011053E-3</v>
      </c>
    </row>
    <row r="111" spans="1:8">
      <c r="A111" s="22">
        <v>45588</v>
      </c>
      <c r="B111" s="21">
        <v>142.03</v>
      </c>
      <c r="C111" s="21">
        <v>142.43</v>
      </c>
      <c r="D111" s="21">
        <v>137.46</v>
      </c>
      <c r="E111" s="21">
        <v>143.59</v>
      </c>
      <c r="F111" s="21">
        <v>139.56</v>
      </c>
      <c r="H111" s="10">
        <f t="shared" si="1"/>
        <v>-2.8066021310676238E-2</v>
      </c>
    </row>
    <row r="112" spans="1:8">
      <c r="A112" s="22">
        <v>45587</v>
      </c>
      <c r="B112" s="21">
        <v>142.91</v>
      </c>
      <c r="C112" s="21">
        <v>144.41999999999999</v>
      </c>
      <c r="D112" s="21">
        <v>141.78</v>
      </c>
      <c r="E112" s="21">
        <v>143.71</v>
      </c>
      <c r="F112" s="21">
        <v>143.59</v>
      </c>
      <c r="H112" s="10">
        <f t="shared" si="1"/>
        <v>-8.3501496068474391E-4</v>
      </c>
    </row>
    <row r="113" spans="1:8">
      <c r="A113" s="22">
        <v>45586</v>
      </c>
      <c r="B113" s="21">
        <v>138.13</v>
      </c>
      <c r="C113" s="21">
        <v>143.71</v>
      </c>
      <c r="D113" s="21">
        <v>138</v>
      </c>
      <c r="E113" s="21">
        <v>138</v>
      </c>
      <c r="F113" s="21">
        <v>143.71</v>
      </c>
      <c r="H113" s="10">
        <f t="shared" si="1"/>
        <v>4.1376811594202957E-2</v>
      </c>
    </row>
    <row r="114" spans="1:8">
      <c r="A114" s="22">
        <v>45583</v>
      </c>
      <c r="B114" s="21">
        <v>138.66999999999999</v>
      </c>
      <c r="C114" s="21">
        <v>138.9</v>
      </c>
      <c r="D114" s="21">
        <v>137.28</v>
      </c>
      <c r="E114" s="21">
        <v>136.93</v>
      </c>
      <c r="F114" s="21">
        <v>138</v>
      </c>
      <c r="H114" s="10">
        <f t="shared" si="1"/>
        <v>7.8142116409843938E-3</v>
      </c>
    </row>
    <row r="115" spans="1:8">
      <c r="A115" s="22">
        <v>45582</v>
      </c>
      <c r="B115" s="21">
        <v>139.34</v>
      </c>
      <c r="C115" s="21">
        <v>140.88999999999999</v>
      </c>
      <c r="D115" s="21">
        <v>136.87</v>
      </c>
      <c r="E115" s="21">
        <v>135.72</v>
      </c>
      <c r="F115" s="21">
        <v>136.93</v>
      </c>
      <c r="H115" s="10">
        <f t="shared" si="1"/>
        <v>8.9154140878279393E-3</v>
      </c>
    </row>
    <row r="116" spans="1:8">
      <c r="A116" s="22">
        <v>45581</v>
      </c>
      <c r="B116" s="21">
        <v>133.97999999999999</v>
      </c>
      <c r="C116" s="21">
        <v>136.62</v>
      </c>
      <c r="D116" s="21">
        <v>131.58000000000001</v>
      </c>
      <c r="E116" s="21">
        <v>131.6</v>
      </c>
      <c r="F116" s="21">
        <v>135.72</v>
      </c>
      <c r="H116" s="10">
        <f t="shared" si="1"/>
        <v>3.1306990881459003E-2</v>
      </c>
    </row>
    <row r="117" spans="1:8">
      <c r="A117" s="22">
        <v>45580</v>
      </c>
      <c r="B117" s="21">
        <v>137.87</v>
      </c>
      <c r="C117" s="21">
        <v>138.57</v>
      </c>
      <c r="D117" s="21">
        <v>128.74</v>
      </c>
      <c r="E117" s="21">
        <v>138.07</v>
      </c>
      <c r="F117" s="21">
        <v>131.6</v>
      </c>
      <c r="H117" s="10">
        <f t="shared" si="1"/>
        <v>-4.686028825957847E-2</v>
      </c>
    </row>
    <row r="118" spans="1:8">
      <c r="A118" s="22">
        <v>45579</v>
      </c>
      <c r="B118" s="21">
        <v>136.47</v>
      </c>
      <c r="C118" s="21">
        <v>139.6</v>
      </c>
      <c r="D118" s="21">
        <v>136.30000000000001</v>
      </c>
      <c r="E118" s="21">
        <v>134.80000000000001</v>
      </c>
      <c r="F118" s="21">
        <v>138.07</v>
      </c>
      <c r="H118" s="10">
        <f t="shared" si="1"/>
        <v>2.4258160237388585E-2</v>
      </c>
    </row>
    <row r="119" spans="1:8">
      <c r="A119" s="22">
        <v>45576</v>
      </c>
      <c r="B119" s="21">
        <v>134.01</v>
      </c>
      <c r="C119" s="21">
        <v>135.78</v>
      </c>
      <c r="D119" s="21">
        <v>133.66</v>
      </c>
      <c r="E119" s="21">
        <v>134.81</v>
      </c>
      <c r="F119" s="21">
        <v>134.80000000000001</v>
      </c>
      <c r="H119" s="10">
        <f t="shared" si="1"/>
        <v>-7.4178473406949811E-5</v>
      </c>
    </row>
    <row r="120" spans="1:8">
      <c r="A120" s="22">
        <v>45575</v>
      </c>
      <c r="B120" s="21">
        <v>131.91</v>
      </c>
      <c r="C120" s="21">
        <v>135</v>
      </c>
      <c r="D120" s="21">
        <v>131</v>
      </c>
      <c r="E120" s="21">
        <v>132.65</v>
      </c>
      <c r="F120" s="21">
        <v>134.81</v>
      </c>
      <c r="H120" s="10">
        <f t="shared" si="1"/>
        <v>1.6283452695062168E-2</v>
      </c>
    </row>
    <row r="121" spans="1:8">
      <c r="A121" s="22">
        <v>45574</v>
      </c>
      <c r="B121" s="21">
        <v>134.11000000000001</v>
      </c>
      <c r="C121" s="21">
        <v>134.52000000000001</v>
      </c>
      <c r="D121" s="21">
        <v>131.38</v>
      </c>
      <c r="E121" s="21">
        <v>132.88999999999999</v>
      </c>
      <c r="F121" s="21">
        <v>132.65</v>
      </c>
      <c r="H121" s="10">
        <f t="shared" si="1"/>
        <v>-1.8060049665135126E-3</v>
      </c>
    </row>
    <row r="122" spans="1:8">
      <c r="A122" s="22">
        <v>45573</v>
      </c>
      <c r="B122" s="21">
        <v>130.26</v>
      </c>
      <c r="C122" s="21">
        <v>133.47999999999999</v>
      </c>
      <c r="D122" s="21">
        <v>129.41999999999999</v>
      </c>
      <c r="E122" s="21">
        <v>127.72</v>
      </c>
      <c r="F122" s="21">
        <v>132.88999999999999</v>
      </c>
      <c r="H122" s="10">
        <f t="shared" si="1"/>
        <v>4.0479173191355994E-2</v>
      </c>
    </row>
    <row r="123" spans="1:8">
      <c r="A123" s="22">
        <v>45572</v>
      </c>
      <c r="B123" s="21">
        <v>124.99</v>
      </c>
      <c r="C123" s="21">
        <v>130.63999999999999</v>
      </c>
      <c r="D123" s="21">
        <v>124.95</v>
      </c>
      <c r="E123" s="21">
        <v>124.92</v>
      </c>
      <c r="F123" s="21">
        <v>127.72</v>
      </c>
      <c r="H123" s="10">
        <f t="shared" si="1"/>
        <v>2.2414345180915764E-2</v>
      </c>
    </row>
    <row r="124" spans="1:8">
      <c r="A124" s="22">
        <v>45569</v>
      </c>
      <c r="B124" s="21">
        <v>124.94</v>
      </c>
      <c r="C124" s="21">
        <v>125.04</v>
      </c>
      <c r="D124" s="21">
        <v>121.83</v>
      </c>
      <c r="E124" s="21">
        <v>122.85</v>
      </c>
      <c r="F124" s="21">
        <v>124.92</v>
      </c>
      <c r="H124" s="10">
        <f t="shared" si="1"/>
        <v>1.6849816849816911E-2</v>
      </c>
    </row>
    <row r="125" spans="1:8">
      <c r="A125" s="22">
        <v>45568</v>
      </c>
      <c r="B125" s="21">
        <v>120.92</v>
      </c>
      <c r="C125" s="21">
        <v>124.36</v>
      </c>
      <c r="D125" s="21">
        <v>120.34</v>
      </c>
      <c r="E125" s="21">
        <v>118.85</v>
      </c>
      <c r="F125" s="21">
        <v>122.85</v>
      </c>
      <c r="H125" s="10">
        <f t="shared" si="1"/>
        <v>3.3655868742111905E-2</v>
      </c>
    </row>
    <row r="126" spans="1:8">
      <c r="A126" s="22">
        <v>45567</v>
      </c>
      <c r="B126" s="21">
        <v>116.44</v>
      </c>
      <c r="C126" s="21">
        <v>119.38</v>
      </c>
      <c r="D126" s="21">
        <v>115.14</v>
      </c>
      <c r="E126" s="21">
        <v>117</v>
      </c>
      <c r="F126" s="21">
        <v>118.85</v>
      </c>
      <c r="H126" s="10">
        <f t="shared" si="1"/>
        <v>1.5811965811965763E-2</v>
      </c>
    </row>
    <row r="127" spans="1:8">
      <c r="A127" s="22">
        <v>45566</v>
      </c>
      <c r="B127" s="21">
        <v>121.77</v>
      </c>
      <c r="C127" s="21">
        <v>122.44</v>
      </c>
      <c r="D127" s="21">
        <v>115.79</v>
      </c>
      <c r="E127" s="21">
        <v>121.44</v>
      </c>
      <c r="F127" s="21">
        <v>117</v>
      </c>
      <c r="H127" s="10">
        <f t="shared" si="1"/>
        <v>-3.6561264822134371E-2</v>
      </c>
    </row>
    <row r="128" spans="1:8">
      <c r="A128" s="22">
        <v>45565</v>
      </c>
      <c r="B128" s="21">
        <v>118.31</v>
      </c>
      <c r="C128" s="21">
        <v>121.5</v>
      </c>
      <c r="D128" s="21">
        <v>118.15</v>
      </c>
      <c r="E128" s="21">
        <v>121.4</v>
      </c>
      <c r="F128" s="21">
        <v>121.44</v>
      </c>
      <c r="H128" s="10">
        <f t="shared" si="1"/>
        <v>3.2948929159795751E-4</v>
      </c>
    </row>
    <row r="129" spans="1:8">
      <c r="A129" s="22">
        <v>45562</v>
      </c>
      <c r="B129" s="21">
        <v>123.97</v>
      </c>
      <c r="C129" s="21">
        <v>124.03</v>
      </c>
      <c r="D129" s="21">
        <v>119.26</v>
      </c>
      <c r="E129" s="21">
        <v>124.04</v>
      </c>
      <c r="F129" s="21">
        <v>121.4</v>
      </c>
      <c r="H129" s="10">
        <f t="shared" si="1"/>
        <v>-2.1283456949371175E-2</v>
      </c>
    </row>
    <row r="130" spans="1:8">
      <c r="A130" s="22">
        <v>45561</v>
      </c>
      <c r="B130" s="21">
        <v>126.8</v>
      </c>
      <c r="C130" s="21">
        <v>127.67</v>
      </c>
      <c r="D130" s="21">
        <v>121.8</v>
      </c>
      <c r="E130" s="21">
        <v>123.51</v>
      </c>
      <c r="F130" s="21">
        <v>124.04</v>
      </c>
      <c r="H130" s="10">
        <f t="shared" si="1"/>
        <v>4.29115051412842E-3</v>
      </c>
    </row>
    <row r="131" spans="1:8">
      <c r="A131" s="22">
        <v>45560</v>
      </c>
      <c r="B131" s="21">
        <v>122.02</v>
      </c>
      <c r="C131" s="21">
        <v>124.94</v>
      </c>
      <c r="D131" s="21">
        <v>121.61</v>
      </c>
      <c r="E131" s="21">
        <v>120.87</v>
      </c>
      <c r="F131" s="21">
        <v>123.51</v>
      </c>
      <c r="H131" s="10">
        <f t="shared" si="1"/>
        <v>2.1841648051625716E-2</v>
      </c>
    </row>
    <row r="132" spans="1:8">
      <c r="A132" s="22">
        <v>45559</v>
      </c>
      <c r="B132" s="21">
        <v>116.52</v>
      </c>
      <c r="C132" s="21">
        <v>121.8</v>
      </c>
      <c r="D132" s="21">
        <v>115.38</v>
      </c>
      <c r="E132" s="21">
        <v>116.26</v>
      </c>
      <c r="F132" s="21">
        <v>120.87</v>
      </c>
      <c r="H132" s="10">
        <f t="shared" si="1"/>
        <v>3.9652503010493716E-2</v>
      </c>
    </row>
    <row r="133" spans="1:8">
      <c r="A133" s="22">
        <v>45558</v>
      </c>
      <c r="B133" s="21">
        <v>116.55</v>
      </c>
      <c r="C133" s="21">
        <v>116.99</v>
      </c>
      <c r="D133" s="21">
        <v>114.86</v>
      </c>
      <c r="E133" s="21">
        <v>116</v>
      </c>
      <c r="F133" s="21">
        <v>116.26</v>
      </c>
      <c r="H133" s="10">
        <f t="shared" ref="H133:H196" si="2">(F133-E133)/E133</f>
        <v>2.2413793103448717E-3</v>
      </c>
    </row>
    <row r="134" spans="1:8">
      <c r="A134" s="22">
        <v>45555</v>
      </c>
      <c r="B134" s="21">
        <v>117.06</v>
      </c>
      <c r="C134" s="21">
        <v>118.62</v>
      </c>
      <c r="D134" s="21">
        <v>115.39</v>
      </c>
      <c r="E134" s="21">
        <v>117.87</v>
      </c>
      <c r="F134" s="21">
        <v>116</v>
      </c>
      <c r="H134" s="10">
        <f t="shared" si="2"/>
        <v>-1.5864935946381643E-2</v>
      </c>
    </row>
    <row r="135" spans="1:8">
      <c r="A135" s="22">
        <v>45554</v>
      </c>
      <c r="B135" s="21">
        <v>117.35</v>
      </c>
      <c r="C135" s="21">
        <v>119.66</v>
      </c>
      <c r="D135" s="21">
        <v>117.25</v>
      </c>
      <c r="E135" s="21">
        <v>113.37</v>
      </c>
      <c r="F135" s="21">
        <v>117.87</v>
      </c>
      <c r="H135" s="10">
        <f t="shared" si="2"/>
        <v>3.9693040486901296E-2</v>
      </c>
    </row>
    <row r="136" spans="1:8">
      <c r="A136" s="22">
        <v>45553</v>
      </c>
      <c r="B136" s="21">
        <v>115.89</v>
      </c>
      <c r="C136" s="21">
        <v>117.7</v>
      </c>
      <c r="D136" s="21">
        <v>113.22</v>
      </c>
      <c r="E136" s="21">
        <v>115.59</v>
      </c>
      <c r="F136" s="21">
        <v>113.37</v>
      </c>
      <c r="H136" s="10">
        <f t="shared" si="2"/>
        <v>-1.9205813651699963E-2</v>
      </c>
    </row>
    <row r="137" spans="1:8">
      <c r="A137" s="22">
        <v>45552</v>
      </c>
      <c r="B137" s="21">
        <v>118.17</v>
      </c>
      <c r="C137" s="21">
        <v>118.8</v>
      </c>
      <c r="D137" s="21">
        <v>114.83</v>
      </c>
      <c r="E137" s="21">
        <v>116.78</v>
      </c>
      <c r="F137" s="21">
        <v>115.59</v>
      </c>
      <c r="H137" s="10">
        <f t="shared" si="2"/>
        <v>-1.0190101044699416E-2</v>
      </c>
    </row>
    <row r="138" spans="1:8">
      <c r="A138" s="22">
        <v>45551</v>
      </c>
      <c r="B138" s="21">
        <v>116.79</v>
      </c>
      <c r="C138" s="21">
        <v>118.18</v>
      </c>
      <c r="D138" s="21">
        <v>114.36</v>
      </c>
      <c r="E138" s="21">
        <v>119.1</v>
      </c>
      <c r="F138" s="21">
        <v>116.78</v>
      </c>
      <c r="H138" s="10">
        <f t="shared" si="2"/>
        <v>-1.9479429051217408E-2</v>
      </c>
    </row>
    <row r="139" spans="1:8">
      <c r="A139" s="22">
        <v>45548</v>
      </c>
      <c r="B139" s="21">
        <v>119.08</v>
      </c>
      <c r="C139" s="21">
        <v>119.96</v>
      </c>
      <c r="D139" s="21">
        <v>117.6</v>
      </c>
      <c r="E139" s="21">
        <v>119.14</v>
      </c>
      <c r="F139" s="21">
        <v>119.1</v>
      </c>
      <c r="H139" s="10">
        <f t="shared" si="2"/>
        <v>-3.3573946617430125E-4</v>
      </c>
    </row>
    <row r="140" spans="1:8">
      <c r="A140" s="22">
        <v>45547</v>
      </c>
      <c r="B140" s="21">
        <v>116.84</v>
      </c>
      <c r="C140" s="21">
        <v>120.79</v>
      </c>
      <c r="D140" s="21">
        <v>115.38</v>
      </c>
      <c r="E140" s="21">
        <v>116.91</v>
      </c>
      <c r="F140" s="21">
        <v>119.14</v>
      </c>
      <c r="H140" s="10">
        <f t="shared" si="2"/>
        <v>1.9074501753485622E-2</v>
      </c>
    </row>
    <row r="141" spans="1:8">
      <c r="A141" s="22">
        <v>45546</v>
      </c>
      <c r="B141" s="21">
        <v>109.39</v>
      </c>
      <c r="C141" s="21">
        <v>117.19</v>
      </c>
      <c r="D141" s="21">
        <v>107.42</v>
      </c>
      <c r="E141" s="21">
        <v>108.1</v>
      </c>
      <c r="F141" s="21">
        <v>116.91</v>
      </c>
      <c r="H141" s="10">
        <f t="shared" si="2"/>
        <v>8.1498612395929718E-2</v>
      </c>
    </row>
    <row r="142" spans="1:8">
      <c r="A142" s="22">
        <v>45545</v>
      </c>
      <c r="B142" s="21">
        <v>107.81</v>
      </c>
      <c r="C142" s="21">
        <v>109.4</v>
      </c>
      <c r="D142" s="21">
        <v>104.95</v>
      </c>
      <c r="E142" s="21">
        <v>106.47</v>
      </c>
      <c r="F142" s="21">
        <v>108.1</v>
      </c>
      <c r="H142" s="10">
        <f t="shared" si="2"/>
        <v>1.5309476847938343E-2</v>
      </c>
    </row>
    <row r="143" spans="1:8">
      <c r="A143" s="22">
        <v>45544</v>
      </c>
      <c r="B143" s="21">
        <v>104.88</v>
      </c>
      <c r="C143" s="21">
        <v>106.55</v>
      </c>
      <c r="D143" s="21">
        <v>103.69</v>
      </c>
      <c r="E143" s="21">
        <v>102.83</v>
      </c>
      <c r="F143" s="21">
        <v>106.47</v>
      </c>
      <c r="H143" s="10">
        <f t="shared" si="2"/>
        <v>3.5398230088495582E-2</v>
      </c>
    </row>
    <row r="144" spans="1:8">
      <c r="A144" s="22">
        <v>45541</v>
      </c>
      <c r="B144" s="21">
        <v>108.04</v>
      </c>
      <c r="C144" s="21">
        <v>108.15</v>
      </c>
      <c r="D144" s="21">
        <v>100.95</v>
      </c>
      <c r="E144" s="21">
        <v>107.21</v>
      </c>
      <c r="F144" s="21">
        <v>102.83</v>
      </c>
      <c r="H144" s="10">
        <f t="shared" si="2"/>
        <v>-4.0854397910642624E-2</v>
      </c>
    </row>
    <row r="145" spans="1:8">
      <c r="A145" s="22">
        <v>45540</v>
      </c>
      <c r="B145" s="21">
        <v>104.99</v>
      </c>
      <c r="C145" s="21">
        <v>109.65</v>
      </c>
      <c r="D145" s="21">
        <v>104.76</v>
      </c>
      <c r="E145" s="21">
        <v>106.21</v>
      </c>
      <c r="F145" s="21">
        <v>107.21</v>
      </c>
      <c r="H145" s="10">
        <f t="shared" si="2"/>
        <v>9.4153092929102726E-3</v>
      </c>
    </row>
    <row r="146" spans="1:8">
      <c r="A146" s="22">
        <v>45539</v>
      </c>
      <c r="B146" s="21">
        <v>105.41</v>
      </c>
      <c r="C146" s="21">
        <v>113.27</v>
      </c>
      <c r="D146" s="21">
        <v>104.12</v>
      </c>
      <c r="E146" s="21">
        <v>108</v>
      </c>
      <c r="F146" s="21">
        <v>106.21</v>
      </c>
      <c r="H146" s="10">
        <f t="shared" si="2"/>
        <v>-1.6574074074074133E-2</v>
      </c>
    </row>
    <row r="147" spans="1:8">
      <c r="A147" s="22">
        <v>45538</v>
      </c>
      <c r="B147" s="21">
        <v>116.01</v>
      </c>
      <c r="C147" s="21">
        <v>116.21</v>
      </c>
      <c r="D147" s="21">
        <v>107.29</v>
      </c>
      <c r="E147" s="21">
        <v>119.37</v>
      </c>
      <c r="F147" s="21">
        <v>108</v>
      </c>
      <c r="H147" s="10">
        <f t="shared" si="2"/>
        <v>-9.5250062829856777E-2</v>
      </c>
    </row>
    <row r="148" spans="1:8">
      <c r="A148" s="22">
        <v>45534</v>
      </c>
      <c r="B148" s="21">
        <v>119.53</v>
      </c>
      <c r="C148" s="21">
        <v>121.75</v>
      </c>
      <c r="D148" s="21">
        <v>117.22</v>
      </c>
      <c r="E148" s="21">
        <v>117.59</v>
      </c>
      <c r="F148" s="21">
        <v>119.37</v>
      </c>
      <c r="H148" s="10">
        <f t="shared" si="2"/>
        <v>1.513734161068119E-2</v>
      </c>
    </row>
    <row r="149" spans="1:8">
      <c r="A149" s="22">
        <v>45533</v>
      </c>
      <c r="B149" s="21">
        <v>121.36</v>
      </c>
      <c r="C149" s="21">
        <v>124.43</v>
      </c>
      <c r="D149" s="21">
        <v>116.71</v>
      </c>
      <c r="E149" s="21">
        <v>125.61</v>
      </c>
      <c r="F149" s="21">
        <v>117.59</v>
      </c>
      <c r="H149" s="10">
        <f t="shared" si="2"/>
        <v>-6.3848419711806353E-2</v>
      </c>
    </row>
    <row r="150" spans="1:8">
      <c r="A150" s="22">
        <v>45532</v>
      </c>
      <c r="B150" s="21">
        <v>128.12</v>
      </c>
      <c r="C150" s="21">
        <v>128.33000000000001</v>
      </c>
      <c r="D150" s="21">
        <v>122.64</v>
      </c>
      <c r="E150" s="21">
        <v>128.30000000000001</v>
      </c>
      <c r="F150" s="21">
        <v>125.61</v>
      </c>
      <c r="H150" s="10">
        <f t="shared" si="2"/>
        <v>-2.096648480124717E-2</v>
      </c>
    </row>
    <row r="151" spans="1:8">
      <c r="A151" s="22">
        <v>45531</v>
      </c>
      <c r="B151" s="21">
        <v>125.05</v>
      </c>
      <c r="C151" s="21">
        <v>129.19999999999999</v>
      </c>
      <c r="D151" s="21">
        <v>123.88</v>
      </c>
      <c r="E151" s="21">
        <v>126.46</v>
      </c>
      <c r="F151" s="21">
        <v>128.30000000000001</v>
      </c>
      <c r="H151" s="10">
        <f t="shared" si="2"/>
        <v>1.4550055353471593E-2</v>
      </c>
    </row>
    <row r="152" spans="1:8">
      <c r="A152" s="22">
        <v>45530</v>
      </c>
      <c r="B152" s="21">
        <v>129.57</v>
      </c>
      <c r="C152" s="21">
        <v>131.26</v>
      </c>
      <c r="D152" s="21">
        <v>124.37</v>
      </c>
      <c r="E152" s="21">
        <v>129.37</v>
      </c>
      <c r="F152" s="21">
        <v>126.46</v>
      </c>
      <c r="H152" s="10">
        <f t="shared" si="2"/>
        <v>-2.249362294194953E-2</v>
      </c>
    </row>
    <row r="153" spans="1:8">
      <c r="A153" s="22">
        <v>45527</v>
      </c>
      <c r="B153" s="21">
        <v>125.86</v>
      </c>
      <c r="C153" s="21">
        <v>129.6</v>
      </c>
      <c r="D153" s="21">
        <v>125.22</v>
      </c>
      <c r="E153" s="21">
        <v>123.74</v>
      </c>
      <c r="F153" s="21">
        <v>129.37</v>
      </c>
      <c r="H153" s="10">
        <f t="shared" si="2"/>
        <v>4.5498626151608289E-2</v>
      </c>
    </row>
    <row r="154" spans="1:8">
      <c r="A154" s="22">
        <v>45526</v>
      </c>
      <c r="B154" s="21">
        <v>130.02000000000001</v>
      </c>
      <c r="C154" s="21">
        <v>130.75</v>
      </c>
      <c r="D154" s="21">
        <v>123.1</v>
      </c>
      <c r="E154" s="21">
        <v>128.5</v>
      </c>
      <c r="F154" s="21">
        <v>123.74</v>
      </c>
      <c r="H154" s="10">
        <f t="shared" si="2"/>
        <v>-3.7042801556420271E-2</v>
      </c>
    </row>
    <row r="155" spans="1:8">
      <c r="A155" s="22">
        <v>45525</v>
      </c>
      <c r="B155" s="21">
        <v>127.32</v>
      </c>
      <c r="C155" s="21">
        <v>129.35</v>
      </c>
      <c r="D155" s="21">
        <v>126.66</v>
      </c>
      <c r="E155" s="21">
        <v>127.25</v>
      </c>
      <c r="F155" s="21">
        <v>128.5</v>
      </c>
      <c r="H155" s="10">
        <f t="shared" si="2"/>
        <v>9.823182711198428E-3</v>
      </c>
    </row>
    <row r="156" spans="1:8">
      <c r="A156" s="22">
        <v>45524</v>
      </c>
      <c r="B156" s="21">
        <v>128.4</v>
      </c>
      <c r="C156" s="21">
        <v>129.88</v>
      </c>
      <c r="D156" s="21">
        <v>125.89</v>
      </c>
      <c r="E156" s="21">
        <v>130</v>
      </c>
      <c r="F156" s="21">
        <v>127.25</v>
      </c>
      <c r="H156" s="10">
        <f t="shared" si="2"/>
        <v>-2.1153846153846155E-2</v>
      </c>
    </row>
    <row r="157" spans="1:8">
      <c r="A157" s="22">
        <v>45523</v>
      </c>
      <c r="B157" s="21">
        <v>124.28</v>
      </c>
      <c r="C157" s="21">
        <v>130</v>
      </c>
      <c r="D157" s="21">
        <v>123.42</v>
      </c>
      <c r="E157" s="21">
        <v>124.58</v>
      </c>
      <c r="F157" s="21">
        <v>130</v>
      </c>
      <c r="H157" s="10">
        <f t="shared" si="2"/>
        <v>4.3506180767378402E-2</v>
      </c>
    </row>
    <row r="158" spans="1:8">
      <c r="A158" s="22">
        <v>45520</v>
      </c>
      <c r="B158" s="21">
        <v>121.94</v>
      </c>
      <c r="C158" s="21">
        <v>125</v>
      </c>
      <c r="D158" s="21">
        <v>121.18</v>
      </c>
      <c r="E158" s="21">
        <v>122.86</v>
      </c>
      <c r="F158" s="21">
        <v>124.58</v>
      </c>
      <c r="H158" s="10">
        <f t="shared" si="2"/>
        <v>1.3999674426176126E-2</v>
      </c>
    </row>
    <row r="159" spans="1:8">
      <c r="A159" s="22">
        <v>45519</v>
      </c>
      <c r="B159" s="21">
        <v>118.76</v>
      </c>
      <c r="C159" s="21">
        <v>123.24</v>
      </c>
      <c r="D159" s="21">
        <v>117.47</v>
      </c>
      <c r="E159" s="21">
        <v>118.08</v>
      </c>
      <c r="F159" s="21">
        <v>122.86</v>
      </c>
      <c r="H159" s="10">
        <f t="shared" si="2"/>
        <v>4.0481029810298115E-2</v>
      </c>
    </row>
    <row r="160" spans="1:8">
      <c r="A160" s="22">
        <v>45518</v>
      </c>
      <c r="B160" s="21">
        <v>118.53</v>
      </c>
      <c r="C160" s="21">
        <v>118.6</v>
      </c>
      <c r="D160" s="21">
        <v>114.07</v>
      </c>
      <c r="E160" s="21">
        <v>116.14</v>
      </c>
      <c r="F160" s="21">
        <v>118.08</v>
      </c>
      <c r="H160" s="10">
        <f t="shared" si="2"/>
        <v>1.6703977957637315E-2</v>
      </c>
    </row>
    <row r="161" spans="1:8">
      <c r="A161" s="22">
        <v>45517</v>
      </c>
      <c r="B161" s="21">
        <v>112.44</v>
      </c>
      <c r="C161" s="21">
        <v>116.23</v>
      </c>
      <c r="D161" s="21">
        <v>111.58</v>
      </c>
      <c r="E161" s="21">
        <v>109.02</v>
      </c>
      <c r="F161" s="21">
        <v>116.14</v>
      </c>
      <c r="H161" s="10">
        <f t="shared" si="2"/>
        <v>6.5309117593102234E-2</v>
      </c>
    </row>
    <row r="162" spans="1:8">
      <c r="A162" s="22">
        <v>45516</v>
      </c>
      <c r="B162" s="21">
        <v>106.32</v>
      </c>
      <c r="C162" s="21">
        <v>111.07</v>
      </c>
      <c r="D162" s="21">
        <v>106.26</v>
      </c>
      <c r="E162" s="21">
        <v>104.75</v>
      </c>
      <c r="F162" s="21">
        <v>109.02</v>
      </c>
      <c r="H162" s="10">
        <f t="shared" si="2"/>
        <v>4.0763723150357957E-2</v>
      </c>
    </row>
    <row r="163" spans="1:8">
      <c r="A163" s="22">
        <v>45513</v>
      </c>
      <c r="B163" s="21">
        <v>105.64</v>
      </c>
      <c r="C163" s="21">
        <v>106.6</v>
      </c>
      <c r="D163" s="21">
        <v>103.43</v>
      </c>
      <c r="E163" s="21">
        <v>104.97</v>
      </c>
      <c r="F163" s="21">
        <v>104.75</v>
      </c>
      <c r="H163" s="10">
        <f t="shared" si="2"/>
        <v>-2.0958369057825937E-3</v>
      </c>
    </row>
    <row r="164" spans="1:8">
      <c r="A164" s="22">
        <v>45512</v>
      </c>
      <c r="B164" s="21">
        <v>102</v>
      </c>
      <c r="C164" s="21">
        <v>105.5</v>
      </c>
      <c r="D164" s="21">
        <v>97.52</v>
      </c>
      <c r="E164" s="21">
        <v>98.91</v>
      </c>
      <c r="F164" s="21">
        <v>104.97</v>
      </c>
      <c r="H164" s="10">
        <f t="shared" si="2"/>
        <v>6.1267819229602692E-2</v>
      </c>
    </row>
    <row r="165" spans="1:8">
      <c r="A165" s="22">
        <v>45511</v>
      </c>
      <c r="B165" s="21">
        <v>107.81</v>
      </c>
      <c r="C165" s="21">
        <v>108.8</v>
      </c>
      <c r="D165" s="21">
        <v>98.69</v>
      </c>
      <c r="E165" s="21">
        <v>104.25</v>
      </c>
      <c r="F165" s="21">
        <v>98.91</v>
      </c>
      <c r="H165" s="10">
        <f t="shared" si="2"/>
        <v>-5.1223021582733848E-2</v>
      </c>
    </row>
    <row r="166" spans="1:8">
      <c r="A166" s="22">
        <v>45510</v>
      </c>
      <c r="B166" s="21">
        <v>103.84</v>
      </c>
      <c r="C166" s="21">
        <v>107.71</v>
      </c>
      <c r="D166" s="21">
        <v>100.55</v>
      </c>
      <c r="E166" s="21">
        <v>100.45</v>
      </c>
      <c r="F166" s="21">
        <v>104.25</v>
      </c>
      <c r="H166" s="10">
        <f t="shared" si="2"/>
        <v>3.7829766052762538E-2</v>
      </c>
    </row>
    <row r="167" spans="1:8">
      <c r="A167" s="22">
        <v>45509</v>
      </c>
      <c r="B167" s="21">
        <v>92.06</v>
      </c>
      <c r="C167" s="21">
        <v>103.41</v>
      </c>
      <c r="D167" s="21">
        <v>90.69</v>
      </c>
      <c r="E167" s="21">
        <v>107.27</v>
      </c>
      <c r="F167" s="21">
        <v>100.45</v>
      </c>
      <c r="H167" s="10">
        <f t="shared" si="2"/>
        <v>-6.3577887573412817E-2</v>
      </c>
    </row>
    <row r="168" spans="1:8">
      <c r="A168" s="22">
        <v>45506</v>
      </c>
      <c r="B168" s="21">
        <v>103.76</v>
      </c>
      <c r="C168" s="21">
        <v>108.72</v>
      </c>
      <c r="D168" s="21">
        <v>101.37</v>
      </c>
      <c r="E168" s="21">
        <v>109.21</v>
      </c>
      <c r="F168" s="21">
        <v>107.27</v>
      </c>
      <c r="H168" s="10">
        <f t="shared" si="2"/>
        <v>-1.7763941031041095E-2</v>
      </c>
    </row>
    <row r="169" spans="1:8">
      <c r="A169" s="22">
        <v>45505</v>
      </c>
      <c r="B169" s="21">
        <v>117.53</v>
      </c>
      <c r="C169" s="21">
        <v>120.16</v>
      </c>
      <c r="D169" s="21">
        <v>106.81</v>
      </c>
      <c r="E169" s="21">
        <v>117.02</v>
      </c>
      <c r="F169" s="21">
        <v>109.21</v>
      </c>
      <c r="H169" s="10">
        <f t="shared" si="2"/>
        <v>-6.6740728080669998E-2</v>
      </c>
    </row>
    <row r="170" spans="1:8">
      <c r="A170" s="22">
        <v>45504</v>
      </c>
      <c r="B170" s="21">
        <v>112.9</v>
      </c>
      <c r="C170" s="21">
        <v>118.34</v>
      </c>
      <c r="D170" s="21">
        <v>110.88</v>
      </c>
      <c r="E170" s="21">
        <v>103.73</v>
      </c>
      <c r="F170" s="21">
        <v>117.02</v>
      </c>
      <c r="H170" s="10">
        <f t="shared" si="2"/>
        <v>0.12812108358237725</v>
      </c>
    </row>
    <row r="171" spans="1:8">
      <c r="A171" s="22">
        <v>45503</v>
      </c>
      <c r="B171" s="21">
        <v>111.52</v>
      </c>
      <c r="C171" s="21">
        <v>111.99</v>
      </c>
      <c r="D171" s="21">
        <v>102.54</v>
      </c>
      <c r="E171" s="21">
        <v>111.59</v>
      </c>
      <c r="F171" s="21">
        <v>103.73</v>
      </c>
      <c r="H171" s="10">
        <f t="shared" si="2"/>
        <v>-7.043641903396361E-2</v>
      </c>
    </row>
    <row r="172" spans="1:8">
      <c r="A172" s="22">
        <v>45502</v>
      </c>
      <c r="B172" s="21">
        <v>113.69</v>
      </c>
      <c r="C172" s="21">
        <v>116.28</v>
      </c>
      <c r="D172" s="21">
        <v>111.3</v>
      </c>
      <c r="E172" s="21">
        <v>113.06</v>
      </c>
      <c r="F172" s="21">
        <v>111.59</v>
      </c>
      <c r="H172" s="10">
        <f t="shared" si="2"/>
        <v>-1.3001945869449839E-2</v>
      </c>
    </row>
    <row r="173" spans="1:8">
      <c r="A173" s="22">
        <v>45499</v>
      </c>
      <c r="B173" s="21">
        <v>116.19</v>
      </c>
      <c r="C173" s="21">
        <v>116.2</v>
      </c>
      <c r="D173" s="21">
        <v>111.58</v>
      </c>
      <c r="E173" s="21">
        <v>112.28</v>
      </c>
      <c r="F173" s="21">
        <v>113.06</v>
      </c>
      <c r="H173" s="10">
        <f t="shared" si="2"/>
        <v>6.9469184182401238E-3</v>
      </c>
    </row>
    <row r="174" spans="1:8">
      <c r="A174" s="22">
        <v>45498</v>
      </c>
      <c r="B174" s="21">
        <v>113.04</v>
      </c>
      <c r="C174" s="21">
        <v>116.63</v>
      </c>
      <c r="D174" s="21">
        <v>106.3</v>
      </c>
      <c r="E174" s="21">
        <v>114.25</v>
      </c>
      <c r="F174" s="21">
        <v>112.28</v>
      </c>
      <c r="H174" s="10">
        <f t="shared" si="2"/>
        <v>-1.7242888402625809E-2</v>
      </c>
    </row>
    <row r="175" spans="1:8">
      <c r="A175" s="22">
        <v>45497</v>
      </c>
      <c r="B175" s="21">
        <v>119.17</v>
      </c>
      <c r="C175" s="21">
        <v>119.95</v>
      </c>
      <c r="D175" s="21">
        <v>113.44</v>
      </c>
      <c r="E175" s="21">
        <v>122.59</v>
      </c>
      <c r="F175" s="21">
        <v>114.25</v>
      </c>
      <c r="H175" s="10">
        <f t="shared" si="2"/>
        <v>-6.8031650216167736E-2</v>
      </c>
    </row>
    <row r="176" spans="1:8">
      <c r="A176" s="22">
        <v>45496</v>
      </c>
      <c r="B176" s="21">
        <v>122.78</v>
      </c>
      <c r="C176" s="21">
        <v>124.69</v>
      </c>
      <c r="D176" s="21">
        <v>122.1</v>
      </c>
      <c r="E176" s="21">
        <v>123.54</v>
      </c>
      <c r="F176" s="21">
        <v>122.59</v>
      </c>
      <c r="H176" s="10">
        <f t="shared" si="2"/>
        <v>-7.6898170632993586E-3</v>
      </c>
    </row>
    <row r="177" spans="1:8">
      <c r="A177" s="22">
        <v>45495</v>
      </c>
      <c r="B177" s="21">
        <v>120.35</v>
      </c>
      <c r="C177" s="21">
        <v>124.07</v>
      </c>
      <c r="D177" s="21">
        <v>119.86</v>
      </c>
      <c r="E177" s="21">
        <v>117.93</v>
      </c>
      <c r="F177" s="21">
        <v>123.54</v>
      </c>
      <c r="H177" s="10">
        <f t="shared" si="2"/>
        <v>4.7570592724497575E-2</v>
      </c>
    </row>
    <row r="178" spans="1:8">
      <c r="A178" s="22">
        <v>45492</v>
      </c>
      <c r="B178" s="21">
        <v>120.35</v>
      </c>
      <c r="C178" s="21">
        <v>121.6</v>
      </c>
      <c r="D178" s="21">
        <v>117.37</v>
      </c>
      <c r="E178" s="21">
        <v>121.09</v>
      </c>
      <c r="F178" s="21">
        <v>117.93</v>
      </c>
      <c r="H178" s="10">
        <f t="shared" si="2"/>
        <v>-2.609629201420428E-2</v>
      </c>
    </row>
    <row r="179" spans="1:8">
      <c r="A179" s="22">
        <v>45491</v>
      </c>
      <c r="B179" s="21">
        <v>121.85</v>
      </c>
      <c r="C179" s="21">
        <v>122.4</v>
      </c>
      <c r="D179" s="21">
        <v>116.56</v>
      </c>
      <c r="E179" s="21">
        <v>117.99</v>
      </c>
      <c r="F179" s="21">
        <v>121.09</v>
      </c>
      <c r="H179" s="10">
        <f t="shared" si="2"/>
        <v>2.6273413001101861E-2</v>
      </c>
    </row>
    <row r="180" spans="1:8">
      <c r="A180" s="22">
        <v>45490</v>
      </c>
      <c r="B180" s="21">
        <v>121.35</v>
      </c>
      <c r="C180" s="21">
        <v>121.85</v>
      </c>
      <c r="D180" s="21">
        <v>116.72</v>
      </c>
      <c r="E180" s="21">
        <v>126.36</v>
      </c>
      <c r="F180" s="21">
        <v>117.99</v>
      </c>
      <c r="H180" s="10">
        <f t="shared" si="2"/>
        <v>-6.6239316239316282E-2</v>
      </c>
    </row>
    <row r="181" spans="1:8">
      <c r="A181" s="22">
        <v>45489</v>
      </c>
      <c r="B181" s="21">
        <v>128.44</v>
      </c>
      <c r="C181" s="21">
        <v>129.04</v>
      </c>
      <c r="D181" s="21">
        <v>124.58</v>
      </c>
      <c r="E181" s="21">
        <v>128.44</v>
      </c>
      <c r="F181" s="21">
        <v>126.36</v>
      </c>
      <c r="H181" s="10">
        <f t="shared" si="2"/>
        <v>-1.6194331983805654E-2</v>
      </c>
    </row>
    <row r="182" spans="1:8">
      <c r="A182" s="22">
        <v>45488</v>
      </c>
      <c r="B182" s="21">
        <v>130.56</v>
      </c>
      <c r="C182" s="21">
        <v>131.38999999999999</v>
      </c>
      <c r="D182" s="21">
        <v>127.18</v>
      </c>
      <c r="E182" s="21">
        <v>129.24</v>
      </c>
      <c r="F182" s="21">
        <v>128.44</v>
      </c>
      <c r="H182" s="10">
        <f t="shared" si="2"/>
        <v>-6.1900340451873362E-3</v>
      </c>
    </row>
    <row r="183" spans="1:8">
      <c r="A183" s="22">
        <v>45485</v>
      </c>
      <c r="B183" s="21">
        <v>128.26</v>
      </c>
      <c r="C183" s="21">
        <v>131.91999999999999</v>
      </c>
      <c r="D183" s="21">
        <v>127.22</v>
      </c>
      <c r="E183" s="21">
        <v>127.4</v>
      </c>
      <c r="F183" s="21">
        <v>129.24</v>
      </c>
      <c r="H183" s="10">
        <f t="shared" si="2"/>
        <v>1.4442700156985898E-2</v>
      </c>
    </row>
    <row r="184" spans="1:8">
      <c r="A184" s="22">
        <v>45484</v>
      </c>
      <c r="B184" s="21">
        <v>135.75</v>
      </c>
      <c r="C184" s="21">
        <v>136.15</v>
      </c>
      <c r="D184" s="21">
        <v>127.05</v>
      </c>
      <c r="E184" s="21">
        <v>134.91</v>
      </c>
      <c r="F184" s="21">
        <v>127.4</v>
      </c>
      <c r="H184" s="10">
        <f t="shared" si="2"/>
        <v>-5.5666740790156335E-2</v>
      </c>
    </row>
    <row r="185" spans="1:8">
      <c r="A185" s="22">
        <v>45483</v>
      </c>
      <c r="B185" s="21">
        <v>134.03</v>
      </c>
      <c r="C185" s="21">
        <v>135.1</v>
      </c>
      <c r="D185" s="21">
        <v>132.41999999999999</v>
      </c>
      <c r="E185" s="21">
        <v>131.38</v>
      </c>
      <c r="F185" s="21">
        <v>134.91</v>
      </c>
      <c r="H185" s="10">
        <f t="shared" si="2"/>
        <v>2.6868625361546668E-2</v>
      </c>
    </row>
    <row r="186" spans="1:8">
      <c r="A186" s="22">
        <v>45482</v>
      </c>
      <c r="B186" s="21">
        <v>130.35</v>
      </c>
      <c r="C186" s="21">
        <v>133.82</v>
      </c>
      <c r="D186" s="21">
        <v>128.65</v>
      </c>
      <c r="E186" s="21">
        <v>128.19999999999999</v>
      </c>
      <c r="F186" s="21">
        <v>131.38</v>
      </c>
      <c r="H186" s="10">
        <f t="shared" si="2"/>
        <v>2.4804992199688042E-2</v>
      </c>
    </row>
    <row r="187" spans="1:8">
      <c r="A187" s="22">
        <v>45481</v>
      </c>
      <c r="B187" s="21">
        <v>127.49</v>
      </c>
      <c r="C187" s="21">
        <v>130.77000000000001</v>
      </c>
      <c r="D187" s="21">
        <v>127.04</v>
      </c>
      <c r="E187" s="21">
        <v>125.83</v>
      </c>
      <c r="F187" s="21">
        <v>128.19999999999999</v>
      </c>
      <c r="H187" s="10">
        <f t="shared" si="2"/>
        <v>1.8834936024795284E-2</v>
      </c>
    </row>
    <row r="188" spans="1:8">
      <c r="A188" s="22">
        <v>45478</v>
      </c>
      <c r="B188" s="21">
        <v>127.38</v>
      </c>
      <c r="C188" s="21">
        <v>128.85</v>
      </c>
      <c r="D188" s="21">
        <v>125.68</v>
      </c>
      <c r="E188" s="21">
        <v>128.28</v>
      </c>
      <c r="F188" s="21">
        <v>125.83</v>
      </c>
      <c r="H188" s="10">
        <f t="shared" si="2"/>
        <v>-1.9098846273776136E-2</v>
      </c>
    </row>
    <row r="189" spans="1:8">
      <c r="A189" s="22">
        <v>45476</v>
      </c>
      <c r="B189" s="21">
        <v>121.66</v>
      </c>
      <c r="C189" s="21">
        <v>128.28</v>
      </c>
      <c r="D189" s="21">
        <v>121.36</v>
      </c>
      <c r="E189" s="21">
        <v>122.67</v>
      </c>
      <c r="F189" s="21">
        <v>128.28</v>
      </c>
      <c r="H189" s="10">
        <f t="shared" si="2"/>
        <v>4.573245292247493E-2</v>
      </c>
    </row>
    <row r="190" spans="1:8">
      <c r="A190" s="22">
        <v>45475</v>
      </c>
      <c r="B190" s="21">
        <v>121.13</v>
      </c>
      <c r="C190" s="21">
        <v>123.41</v>
      </c>
      <c r="D190" s="21">
        <v>121.03</v>
      </c>
      <c r="E190" s="21">
        <v>124.3</v>
      </c>
      <c r="F190" s="21">
        <v>122.67</v>
      </c>
      <c r="H190" s="10">
        <f t="shared" si="2"/>
        <v>-1.3113435237329007E-2</v>
      </c>
    </row>
    <row r="191" spans="1:8">
      <c r="A191" s="22">
        <v>45474</v>
      </c>
      <c r="B191" s="21">
        <v>123.47</v>
      </c>
      <c r="C191" s="21">
        <v>124.84</v>
      </c>
      <c r="D191" s="21">
        <v>118.83</v>
      </c>
      <c r="E191" s="21">
        <v>123.54</v>
      </c>
      <c r="F191" s="21">
        <v>124.3</v>
      </c>
      <c r="H191" s="10">
        <f t="shared" si="2"/>
        <v>6.1518536506393953E-3</v>
      </c>
    </row>
    <row r="192" spans="1:8">
      <c r="A192" s="22">
        <v>45471</v>
      </c>
      <c r="B192" s="21">
        <v>124.58</v>
      </c>
      <c r="C192" s="21">
        <v>127.71</v>
      </c>
      <c r="D192" s="21">
        <v>122.75</v>
      </c>
      <c r="E192" s="21">
        <v>123.99</v>
      </c>
      <c r="F192" s="21">
        <v>123.54</v>
      </c>
      <c r="H192" s="10">
        <f t="shared" si="2"/>
        <v>-3.6293249455600341E-3</v>
      </c>
    </row>
    <row r="193" spans="1:8">
      <c r="A193" s="22">
        <v>45470</v>
      </c>
      <c r="B193" s="21">
        <v>124.1</v>
      </c>
      <c r="C193" s="21">
        <v>126.41</v>
      </c>
      <c r="D193" s="21">
        <v>122.92</v>
      </c>
      <c r="E193" s="21">
        <v>126.4</v>
      </c>
      <c r="F193" s="21">
        <v>123.99</v>
      </c>
      <c r="H193" s="10">
        <f t="shared" si="2"/>
        <v>-1.9066455696202616E-2</v>
      </c>
    </row>
    <row r="194" spans="1:8">
      <c r="A194" s="22">
        <v>45469</v>
      </c>
      <c r="B194" s="21">
        <v>126.13</v>
      </c>
      <c r="C194" s="21">
        <v>128.12</v>
      </c>
      <c r="D194" s="21">
        <v>122.6</v>
      </c>
      <c r="E194" s="21">
        <v>126.09</v>
      </c>
      <c r="F194" s="21">
        <v>126.4</v>
      </c>
      <c r="H194" s="10">
        <f t="shared" si="2"/>
        <v>2.4585613450709989E-3</v>
      </c>
    </row>
    <row r="195" spans="1:8">
      <c r="A195" s="22">
        <v>45468</v>
      </c>
      <c r="B195" s="21">
        <v>121.2</v>
      </c>
      <c r="C195" s="21">
        <v>126.5</v>
      </c>
      <c r="D195" s="21">
        <v>119.32</v>
      </c>
      <c r="E195" s="21">
        <v>118.11</v>
      </c>
      <c r="F195" s="21">
        <v>126.09</v>
      </c>
      <c r="H195" s="10">
        <f t="shared" si="2"/>
        <v>6.7564135128270295E-2</v>
      </c>
    </row>
    <row r="196" spans="1:8">
      <c r="A196" s="22">
        <v>45467</v>
      </c>
      <c r="B196" s="21">
        <v>123.24</v>
      </c>
      <c r="C196" s="21">
        <v>124.46</v>
      </c>
      <c r="D196" s="21">
        <v>118.04</v>
      </c>
      <c r="E196" s="21">
        <v>126.57</v>
      </c>
      <c r="F196" s="21">
        <v>118.11</v>
      </c>
      <c r="H196" s="10">
        <f t="shared" si="2"/>
        <v>-6.684048352690207E-2</v>
      </c>
    </row>
    <row r="197" spans="1:8">
      <c r="A197" s="22">
        <v>45464</v>
      </c>
      <c r="B197" s="21">
        <v>127.12</v>
      </c>
      <c r="C197" s="21">
        <v>130.63</v>
      </c>
      <c r="D197" s="21">
        <v>124.3</v>
      </c>
      <c r="E197" s="21">
        <v>130.78</v>
      </c>
      <c r="F197" s="21">
        <v>126.57</v>
      </c>
      <c r="H197" s="10">
        <f t="shared" ref="H197:H254" si="3">(F197-E197)/E197</f>
        <v>-3.2191466585104814E-2</v>
      </c>
    </row>
    <row r="198" spans="1:8">
      <c r="A198" s="22">
        <v>45463</v>
      </c>
      <c r="B198" s="21">
        <v>139.80000000000001</v>
      </c>
      <c r="C198" s="21">
        <v>140.76</v>
      </c>
      <c r="D198" s="21">
        <v>129.52000000000001</v>
      </c>
      <c r="E198" s="21">
        <v>135.58000000000001</v>
      </c>
      <c r="F198" s="21">
        <v>130.78</v>
      </c>
      <c r="H198" s="10">
        <f t="shared" si="3"/>
        <v>-3.5403451836554148E-2</v>
      </c>
    </row>
    <row r="199" spans="1:8">
      <c r="A199" s="22">
        <v>45461</v>
      </c>
      <c r="B199" s="21">
        <v>131.13999999999999</v>
      </c>
      <c r="C199" s="21">
        <v>136.33000000000001</v>
      </c>
      <c r="D199" s="21">
        <v>130.69</v>
      </c>
      <c r="E199" s="21">
        <v>130.97999999999999</v>
      </c>
      <c r="F199" s="21">
        <v>135.58000000000001</v>
      </c>
      <c r="H199" s="10">
        <f t="shared" si="3"/>
        <v>3.511986562834038E-2</v>
      </c>
    </row>
    <row r="200" spans="1:8">
      <c r="A200" s="22">
        <v>45460</v>
      </c>
      <c r="B200" s="21">
        <v>132.99</v>
      </c>
      <c r="C200" s="21">
        <v>133.72999999999999</v>
      </c>
      <c r="D200" s="21">
        <v>129.58000000000001</v>
      </c>
      <c r="E200" s="21">
        <v>131.88</v>
      </c>
      <c r="F200" s="21">
        <v>130.97999999999999</v>
      </c>
      <c r="H200" s="10">
        <f t="shared" si="3"/>
        <v>-6.8243858052775682E-3</v>
      </c>
    </row>
    <row r="201" spans="1:8">
      <c r="A201" s="22">
        <v>45457</v>
      </c>
      <c r="B201" s="21">
        <v>129.96</v>
      </c>
      <c r="C201" s="21">
        <v>132.84</v>
      </c>
      <c r="D201" s="21">
        <v>128.32</v>
      </c>
      <c r="E201" s="21">
        <v>129.61000000000001</v>
      </c>
      <c r="F201" s="21">
        <v>131.88</v>
      </c>
      <c r="H201" s="10">
        <f t="shared" si="3"/>
        <v>1.7514080703649269E-2</v>
      </c>
    </row>
    <row r="202" spans="1:8">
      <c r="A202" s="22">
        <v>45456</v>
      </c>
      <c r="B202" s="21">
        <v>129.38999999999999</v>
      </c>
      <c r="C202" s="21">
        <v>129.80000000000001</v>
      </c>
      <c r="D202" s="21">
        <v>127.16</v>
      </c>
      <c r="E202" s="21">
        <v>125.2</v>
      </c>
      <c r="F202" s="21">
        <v>129.61000000000001</v>
      </c>
      <c r="H202" s="10">
        <f t="shared" si="3"/>
        <v>3.522364217252405E-2</v>
      </c>
    </row>
    <row r="203" spans="1:8">
      <c r="A203" s="22">
        <v>45455</v>
      </c>
      <c r="B203" s="21">
        <v>123.06</v>
      </c>
      <c r="C203" s="21">
        <v>126.88</v>
      </c>
      <c r="D203" s="21">
        <v>122.57</v>
      </c>
      <c r="E203" s="21">
        <v>120.91</v>
      </c>
      <c r="F203" s="21">
        <v>125.2</v>
      </c>
      <c r="H203" s="10">
        <f t="shared" si="3"/>
        <v>3.5480936233562209E-2</v>
      </c>
    </row>
    <row r="204" spans="1:8">
      <c r="A204" s="22">
        <v>45454</v>
      </c>
      <c r="B204" s="21">
        <v>121.77</v>
      </c>
      <c r="C204" s="21">
        <v>122.87</v>
      </c>
      <c r="D204" s="21">
        <v>118.74</v>
      </c>
      <c r="E204" s="21">
        <v>121.79</v>
      </c>
      <c r="F204" s="21">
        <v>120.91</v>
      </c>
      <c r="H204" s="10">
        <f t="shared" si="3"/>
        <v>-7.2255521799820151E-3</v>
      </c>
    </row>
    <row r="205" spans="1:8">
      <c r="A205" s="22">
        <v>45453</v>
      </c>
      <c r="B205" s="21">
        <v>120.37</v>
      </c>
      <c r="C205" s="21">
        <v>123.1</v>
      </c>
      <c r="D205" s="21">
        <v>117.01</v>
      </c>
      <c r="E205" s="21">
        <v>120.89</v>
      </c>
      <c r="F205" s="21">
        <v>121.79</v>
      </c>
      <c r="H205" s="10">
        <f t="shared" si="3"/>
        <v>7.4447845148482563E-3</v>
      </c>
    </row>
    <row r="206" spans="1:8">
      <c r="A206" s="22">
        <v>45450</v>
      </c>
      <c r="B206" s="21">
        <v>119.77</v>
      </c>
      <c r="C206" s="21">
        <v>121.69</v>
      </c>
      <c r="D206" s="21">
        <v>118.02</v>
      </c>
      <c r="E206" s="21">
        <v>121</v>
      </c>
      <c r="F206" s="21">
        <v>120.89</v>
      </c>
      <c r="H206" s="10">
        <f t="shared" si="3"/>
        <v>-9.0909090909090443E-4</v>
      </c>
    </row>
    <row r="207" spans="1:8">
      <c r="A207" s="22">
        <v>45449</v>
      </c>
      <c r="B207" s="21">
        <v>124.05</v>
      </c>
      <c r="C207" s="21">
        <v>125.59</v>
      </c>
      <c r="D207" s="21">
        <v>118.32</v>
      </c>
      <c r="E207" s="21">
        <v>122.44</v>
      </c>
      <c r="F207" s="21">
        <v>121</v>
      </c>
      <c r="H207" s="10">
        <f t="shared" si="3"/>
        <v>-1.1760862463247286E-2</v>
      </c>
    </row>
    <row r="208" spans="1:8">
      <c r="A208" s="22">
        <v>45448</v>
      </c>
      <c r="B208" s="21">
        <v>118.37</v>
      </c>
      <c r="C208" s="21">
        <v>122.45</v>
      </c>
      <c r="D208" s="21">
        <v>117.47</v>
      </c>
      <c r="E208" s="21">
        <v>116.44</v>
      </c>
      <c r="F208" s="21">
        <v>122.44</v>
      </c>
      <c r="H208" s="10">
        <f t="shared" si="3"/>
        <v>5.1528684300927517E-2</v>
      </c>
    </row>
    <row r="209" spans="1:8">
      <c r="A209" s="22">
        <v>45447</v>
      </c>
      <c r="B209" s="21">
        <v>115.72</v>
      </c>
      <c r="C209" s="21">
        <v>116.6</v>
      </c>
      <c r="D209" s="21">
        <v>114.05</v>
      </c>
      <c r="E209" s="21">
        <v>115</v>
      </c>
      <c r="F209" s="21">
        <v>116.44</v>
      </c>
      <c r="H209" s="10">
        <f t="shared" si="3"/>
        <v>1.2521739130434762E-2</v>
      </c>
    </row>
    <row r="210" spans="1:8">
      <c r="A210" s="22">
        <v>45446</v>
      </c>
      <c r="B210" s="21">
        <v>113.62</v>
      </c>
      <c r="C210" s="21">
        <v>115</v>
      </c>
      <c r="D210" s="21">
        <v>112</v>
      </c>
      <c r="E210" s="21">
        <v>109.63</v>
      </c>
      <c r="F210" s="21">
        <v>115</v>
      </c>
      <c r="H210" s="10">
        <f t="shared" si="3"/>
        <v>4.8982942625193877E-2</v>
      </c>
    </row>
    <row r="211" spans="1:8">
      <c r="A211" s="22">
        <v>45443</v>
      </c>
      <c r="B211" s="21">
        <v>112.52</v>
      </c>
      <c r="C211" s="21">
        <v>112.72</v>
      </c>
      <c r="D211" s="21">
        <v>106.94</v>
      </c>
      <c r="E211" s="21">
        <v>110.5</v>
      </c>
      <c r="F211" s="21">
        <v>109.63</v>
      </c>
      <c r="H211" s="10">
        <f t="shared" si="3"/>
        <v>-7.8733031674208549E-3</v>
      </c>
    </row>
    <row r="212" spans="1:8">
      <c r="A212" s="22">
        <v>45442</v>
      </c>
      <c r="B212" s="21">
        <v>114.65</v>
      </c>
      <c r="C212" s="21">
        <v>115.82</v>
      </c>
      <c r="D212" s="21">
        <v>109.66</v>
      </c>
      <c r="E212" s="21">
        <v>114.83</v>
      </c>
      <c r="F212" s="21">
        <v>110.5</v>
      </c>
      <c r="H212" s="10">
        <f t="shared" si="3"/>
        <v>-3.7707916049812752E-2</v>
      </c>
    </row>
    <row r="213" spans="1:8">
      <c r="A213" s="22">
        <v>45441</v>
      </c>
      <c r="B213" s="21">
        <v>113.05</v>
      </c>
      <c r="C213" s="21">
        <v>115.49</v>
      </c>
      <c r="D213" s="21">
        <v>110.9</v>
      </c>
      <c r="E213" s="21">
        <v>113.9</v>
      </c>
      <c r="F213" s="21">
        <v>114.83</v>
      </c>
      <c r="H213" s="10">
        <f t="shared" si="3"/>
        <v>8.1650570676030949E-3</v>
      </c>
    </row>
    <row r="214" spans="1:8">
      <c r="A214" s="22">
        <v>45440</v>
      </c>
      <c r="B214" s="21">
        <v>110.24</v>
      </c>
      <c r="C214" s="21">
        <v>114.94</v>
      </c>
      <c r="D214" s="21">
        <v>109.88</v>
      </c>
      <c r="E214" s="21">
        <v>106.47</v>
      </c>
      <c r="F214" s="21">
        <v>113.9</v>
      </c>
      <c r="H214" s="10">
        <f t="shared" si="3"/>
        <v>6.9784915938762154E-2</v>
      </c>
    </row>
    <row r="215" spans="1:8">
      <c r="A215" s="22">
        <v>45436</v>
      </c>
      <c r="B215" s="21">
        <v>104.45</v>
      </c>
      <c r="C215" s="21">
        <v>106.48</v>
      </c>
      <c r="D215" s="21">
        <v>103</v>
      </c>
      <c r="E215" s="21">
        <v>103.8</v>
      </c>
      <c r="F215" s="21">
        <v>106.47</v>
      </c>
      <c r="H215" s="10">
        <f t="shared" si="3"/>
        <v>2.5722543352601174E-2</v>
      </c>
    </row>
    <row r="216" spans="1:8">
      <c r="A216" s="22">
        <v>45435</v>
      </c>
      <c r="B216" s="21">
        <v>102.03</v>
      </c>
      <c r="C216" s="21">
        <v>106.32</v>
      </c>
      <c r="D216" s="21">
        <v>101.52</v>
      </c>
      <c r="E216" s="21">
        <v>94.95</v>
      </c>
      <c r="F216" s="21">
        <v>103.8</v>
      </c>
      <c r="H216" s="10">
        <f t="shared" si="3"/>
        <v>9.320695102685618E-2</v>
      </c>
    </row>
    <row r="217" spans="1:8">
      <c r="A217" s="22">
        <v>45434</v>
      </c>
      <c r="B217" s="21">
        <v>95.46</v>
      </c>
      <c r="C217" s="21">
        <v>96.02</v>
      </c>
      <c r="D217" s="21">
        <v>93.25</v>
      </c>
      <c r="E217" s="21">
        <v>95.39</v>
      </c>
      <c r="F217" s="21">
        <v>94.95</v>
      </c>
      <c r="H217" s="10">
        <f t="shared" si="3"/>
        <v>-4.612642834678664E-3</v>
      </c>
    </row>
    <row r="218" spans="1:8">
      <c r="A218" s="22">
        <v>45433</v>
      </c>
      <c r="B218" s="21">
        <v>93.6</v>
      </c>
      <c r="C218" s="21">
        <v>95.4</v>
      </c>
      <c r="D218" s="21">
        <v>93.18</v>
      </c>
      <c r="E218" s="21">
        <v>94.78</v>
      </c>
      <c r="F218" s="21">
        <v>95.39</v>
      </c>
      <c r="H218" s="10">
        <f t="shared" si="3"/>
        <v>6.4359569529436533E-3</v>
      </c>
    </row>
    <row r="219" spans="1:8">
      <c r="A219" s="22">
        <v>45432</v>
      </c>
      <c r="B219" s="21">
        <v>93.75</v>
      </c>
      <c r="C219" s="21">
        <v>95.2</v>
      </c>
      <c r="D219" s="21">
        <v>93.44</v>
      </c>
      <c r="E219" s="21">
        <v>92.48</v>
      </c>
      <c r="F219" s="21">
        <v>94.78</v>
      </c>
      <c r="H219" s="10">
        <f t="shared" si="3"/>
        <v>2.487024221453284E-2</v>
      </c>
    </row>
    <row r="220" spans="1:8">
      <c r="A220" s="22">
        <v>45429</v>
      </c>
      <c r="B220" s="21">
        <v>94.37</v>
      </c>
      <c r="C220" s="21">
        <v>94.74</v>
      </c>
      <c r="D220" s="21">
        <v>91.81</v>
      </c>
      <c r="E220" s="21">
        <v>94.36</v>
      </c>
      <c r="F220" s="21">
        <v>92.48</v>
      </c>
      <c r="H220" s="10">
        <f t="shared" si="3"/>
        <v>-1.9923696481559935E-2</v>
      </c>
    </row>
    <row r="221" spans="1:8">
      <c r="A221" s="22">
        <v>45428</v>
      </c>
      <c r="B221" s="21">
        <v>94.91</v>
      </c>
      <c r="C221" s="21">
        <v>95.82</v>
      </c>
      <c r="D221" s="21">
        <v>94.1</v>
      </c>
      <c r="E221" s="21">
        <v>94.63</v>
      </c>
      <c r="F221" s="21">
        <v>94.36</v>
      </c>
      <c r="H221" s="10">
        <f t="shared" si="3"/>
        <v>-2.8532177956250241E-3</v>
      </c>
    </row>
    <row r="222" spans="1:8">
      <c r="A222" s="22">
        <v>45427</v>
      </c>
      <c r="B222" s="21">
        <v>92.47</v>
      </c>
      <c r="C222" s="21">
        <v>94.86</v>
      </c>
      <c r="D222" s="21">
        <v>91.6</v>
      </c>
      <c r="E222" s="21">
        <v>91.36</v>
      </c>
      <c r="F222" s="21">
        <v>94.63</v>
      </c>
      <c r="H222" s="10">
        <f t="shared" si="3"/>
        <v>3.5792469352013967E-2</v>
      </c>
    </row>
    <row r="223" spans="1:8">
      <c r="A223" s="22">
        <v>45426</v>
      </c>
      <c r="B223" s="21">
        <v>89.6</v>
      </c>
      <c r="C223" s="21">
        <v>91.65</v>
      </c>
      <c r="D223" s="21">
        <v>88.93</v>
      </c>
      <c r="E223" s="21">
        <v>90.4</v>
      </c>
      <c r="F223" s="21">
        <v>91.36</v>
      </c>
      <c r="H223" s="10">
        <f t="shared" si="3"/>
        <v>1.0619469026548603E-2</v>
      </c>
    </row>
    <row r="224" spans="1:8">
      <c r="A224" s="22">
        <v>45425</v>
      </c>
      <c r="B224" s="21">
        <v>90.48</v>
      </c>
      <c r="C224" s="21">
        <v>91</v>
      </c>
      <c r="D224" s="21">
        <v>88.53</v>
      </c>
      <c r="E224" s="21">
        <v>89.88</v>
      </c>
      <c r="F224" s="21">
        <v>90.4</v>
      </c>
      <c r="H224" s="10">
        <f t="shared" si="3"/>
        <v>5.7854917668002919E-3</v>
      </c>
    </row>
    <row r="225" spans="1:8">
      <c r="A225" s="22">
        <v>45422</v>
      </c>
      <c r="B225" s="21">
        <v>90.3</v>
      </c>
      <c r="C225" s="21">
        <v>91.4</v>
      </c>
      <c r="D225" s="21">
        <v>89.23</v>
      </c>
      <c r="E225" s="21">
        <v>88.75</v>
      </c>
      <c r="F225" s="21">
        <v>89.88</v>
      </c>
      <c r="H225" s="10">
        <f t="shared" si="3"/>
        <v>1.2732394366197133E-2</v>
      </c>
    </row>
    <row r="226" spans="1:8">
      <c r="A226" s="22">
        <v>45421</v>
      </c>
      <c r="B226" s="21">
        <v>90.53</v>
      </c>
      <c r="C226" s="21">
        <v>91.07</v>
      </c>
      <c r="D226" s="21">
        <v>88.23</v>
      </c>
      <c r="E226" s="21">
        <v>90.41</v>
      </c>
      <c r="F226" s="21">
        <v>88.75</v>
      </c>
      <c r="H226" s="10">
        <f t="shared" si="3"/>
        <v>-1.8360800796372045E-2</v>
      </c>
    </row>
    <row r="227" spans="1:8">
      <c r="A227" s="22">
        <v>45420</v>
      </c>
      <c r="B227" s="21">
        <v>89.48</v>
      </c>
      <c r="C227" s="21">
        <v>91.19</v>
      </c>
      <c r="D227" s="21">
        <v>89.42</v>
      </c>
      <c r="E227" s="21">
        <v>90.55</v>
      </c>
      <c r="F227" s="21">
        <v>90.41</v>
      </c>
      <c r="H227" s="10">
        <f t="shared" si="3"/>
        <v>-1.5461071231363951E-3</v>
      </c>
    </row>
    <row r="228" spans="1:8">
      <c r="A228" s="22">
        <v>45419</v>
      </c>
      <c r="B228" s="21">
        <v>91.1</v>
      </c>
      <c r="C228" s="21">
        <v>91.78</v>
      </c>
      <c r="D228" s="21">
        <v>89.01</v>
      </c>
      <c r="E228" s="21">
        <v>92.14</v>
      </c>
      <c r="F228" s="21">
        <v>90.55</v>
      </c>
      <c r="H228" s="10">
        <f t="shared" si="3"/>
        <v>-1.7256349034078612E-2</v>
      </c>
    </row>
    <row r="229" spans="1:8">
      <c r="A229" s="22">
        <v>45418</v>
      </c>
      <c r="B229" s="21">
        <v>89.39</v>
      </c>
      <c r="C229" s="21">
        <v>92.22</v>
      </c>
      <c r="D229" s="21">
        <v>89.06</v>
      </c>
      <c r="E229" s="21">
        <v>88.79</v>
      </c>
      <c r="F229" s="21">
        <v>92.14</v>
      </c>
      <c r="H229" s="10">
        <f t="shared" si="3"/>
        <v>3.7729474039869287E-2</v>
      </c>
    </row>
    <row r="230" spans="1:8">
      <c r="A230" s="22">
        <v>45415</v>
      </c>
      <c r="B230" s="21">
        <v>87.79</v>
      </c>
      <c r="C230" s="21">
        <v>89.28</v>
      </c>
      <c r="D230" s="21">
        <v>87.04</v>
      </c>
      <c r="E230" s="21">
        <v>85.82</v>
      </c>
      <c r="F230" s="21">
        <v>88.79</v>
      </c>
      <c r="H230" s="10">
        <f t="shared" si="3"/>
        <v>3.4607317641575548E-2</v>
      </c>
    </row>
    <row r="231" spans="1:8">
      <c r="A231" s="22">
        <v>45414</v>
      </c>
      <c r="B231" s="21">
        <v>84.45</v>
      </c>
      <c r="C231" s="21">
        <v>86.24</v>
      </c>
      <c r="D231" s="21">
        <v>83.2</v>
      </c>
      <c r="E231" s="21">
        <v>83.04</v>
      </c>
      <c r="F231" s="21">
        <v>85.82</v>
      </c>
      <c r="H231" s="10">
        <f t="shared" si="3"/>
        <v>3.3477842003853404E-2</v>
      </c>
    </row>
    <row r="232" spans="1:8">
      <c r="A232" s="22">
        <v>45413</v>
      </c>
      <c r="B232" s="21">
        <v>85.08</v>
      </c>
      <c r="C232" s="21">
        <v>86</v>
      </c>
      <c r="D232" s="21">
        <v>81.25</v>
      </c>
      <c r="E232" s="21">
        <v>86.4</v>
      </c>
      <c r="F232" s="21">
        <v>83.04</v>
      </c>
      <c r="H232" s="10">
        <f t="shared" si="3"/>
        <v>-3.8888888888888883E-2</v>
      </c>
    </row>
    <row r="233" spans="1:8">
      <c r="A233" s="22">
        <v>45412</v>
      </c>
      <c r="B233" s="21">
        <v>87.24</v>
      </c>
      <c r="C233" s="21">
        <v>88.82</v>
      </c>
      <c r="D233" s="21">
        <v>86.3</v>
      </c>
      <c r="E233" s="21">
        <v>87.76</v>
      </c>
      <c r="F233" s="21">
        <v>86.4</v>
      </c>
      <c r="H233" s="10">
        <f t="shared" si="3"/>
        <v>-1.5496809480401087E-2</v>
      </c>
    </row>
    <row r="234" spans="1:8">
      <c r="A234" s="22">
        <v>45411</v>
      </c>
      <c r="B234" s="21">
        <v>87.6</v>
      </c>
      <c r="C234" s="21">
        <v>87.99</v>
      </c>
      <c r="D234" s="21">
        <v>85.27</v>
      </c>
      <c r="E234" s="21">
        <v>87.74</v>
      </c>
      <c r="F234" s="21">
        <v>87.76</v>
      </c>
      <c r="H234" s="10">
        <f t="shared" si="3"/>
        <v>2.2794620469580846E-4</v>
      </c>
    </row>
    <row r="235" spans="1:8">
      <c r="A235" s="22">
        <v>45408</v>
      </c>
      <c r="B235" s="21">
        <v>83.82</v>
      </c>
      <c r="C235" s="21">
        <v>88.33</v>
      </c>
      <c r="D235" s="21">
        <v>83.39</v>
      </c>
      <c r="E235" s="21">
        <v>82.63</v>
      </c>
      <c r="F235" s="21">
        <v>87.74</v>
      </c>
      <c r="H235" s="10">
        <f t="shared" si="3"/>
        <v>6.1841946024446322E-2</v>
      </c>
    </row>
    <row r="236" spans="1:8">
      <c r="A236" s="22">
        <v>45407</v>
      </c>
      <c r="B236" s="21">
        <v>78.87</v>
      </c>
      <c r="C236" s="21">
        <v>83.32</v>
      </c>
      <c r="D236" s="21">
        <v>78.22</v>
      </c>
      <c r="E236" s="21">
        <v>79.680000000000007</v>
      </c>
      <c r="F236" s="21">
        <v>82.63</v>
      </c>
      <c r="H236" s="10">
        <f t="shared" si="3"/>
        <v>3.7023092369477768E-2</v>
      </c>
    </row>
    <row r="237" spans="1:8">
      <c r="A237" s="22">
        <v>45406</v>
      </c>
      <c r="B237" s="21">
        <v>83.95</v>
      </c>
      <c r="C237" s="21">
        <v>84.08</v>
      </c>
      <c r="D237" s="21">
        <v>79.180000000000007</v>
      </c>
      <c r="E237" s="21">
        <v>82.42</v>
      </c>
      <c r="F237" s="21">
        <v>79.680000000000007</v>
      </c>
      <c r="H237" s="10">
        <f t="shared" si="3"/>
        <v>-3.3244358165493752E-2</v>
      </c>
    </row>
    <row r="238" spans="1:8">
      <c r="A238" s="22">
        <v>45405</v>
      </c>
      <c r="B238" s="21">
        <v>80.77</v>
      </c>
      <c r="C238" s="21">
        <v>82.77</v>
      </c>
      <c r="D238" s="21">
        <v>80.260000000000005</v>
      </c>
      <c r="E238" s="21">
        <v>79.52</v>
      </c>
      <c r="F238" s="21">
        <v>82.42</v>
      </c>
      <c r="H238" s="10">
        <f t="shared" si="3"/>
        <v>3.6468812877263654E-2</v>
      </c>
    </row>
    <row r="239" spans="1:8">
      <c r="A239" s="22">
        <v>45404</v>
      </c>
      <c r="B239" s="21">
        <v>78.099999999999994</v>
      </c>
      <c r="C239" s="21">
        <v>80.069999999999993</v>
      </c>
      <c r="D239" s="21">
        <v>76.400000000000006</v>
      </c>
      <c r="E239" s="21">
        <v>76.2</v>
      </c>
      <c r="F239" s="21">
        <v>79.52</v>
      </c>
      <c r="H239" s="10">
        <f t="shared" si="3"/>
        <v>4.3569553805774187E-2</v>
      </c>
    </row>
    <row r="240" spans="1:8">
      <c r="A240" s="22">
        <v>45401</v>
      </c>
      <c r="B240" s="21">
        <v>83.15</v>
      </c>
      <c r="C240" s="21">
        <v>84.32</v>
      </c>
      <c r="D240" s="21">
        <v>75.61</v>
      </c>
      <c r="E240" s="21">
        <v>84.67</v>
      </c>
      <c r="F240" s="21">
        <v>76.2</v>
      </c>
      <c r="H240" s="10">
        <f t="shared" si="3"/>
        <v>-0.10003543167591826</v>
      </c>
    </row>
    <row r="241" spans="1:8">
      <c r="A241" s="22">
        <v>45400</v>
      </c>
      <c r="B241" s="21">
        <v>84.97</v>
      </c>
      <c r="C241" s="21">
        <v>86.19</v>
      </c>
      <c r="D241" s="21">
        <v>82.4</v>
      </c>
      <c r="E241" s="21">
        <v>84.04</v>
      </c>
      <c r="F241" s="21">
        <v>84.67</v>
      </c>
      <c r="H241" s="10">
        <f t="shared" si="3"/>
        <v>7.4964302712993269E-3</v>
      </c>
    </row>
    <row r="242" spans="1:8">
      <c r="A242" s="22">
        <v>45399</v>
      </c>
      <c r="B242" s="21">
        <v>88.34</v>
      </c>
      <c r="C242" s="21">
        <v>88.78</v>
      </c>
      <c r="D242" s="21">
        <v>83.95</v>
      </c>
      <c r="E242" s="21">
        <v>87.42</v>
      </c>
      <c r="F242" s="21">
        <v>84.04</v>
      </c>
      <c r="H242" s="10">
        <f t="shared" si="3"/>
        <v>-3.8663921299473755E-2</v>
      </c>
    </row>
    <row r="243" spans="1:8">
      <c r="A243" s="22">
        <v>45398</v>
      </c>
      <c r="B243" s="21">
        <v>86.43</v>
      </c>
      <c r="C243" s="21">
        <v>88.12</v>
      </c>
      <c r="D243" s="21">
        <v>86.06</v>
      </c>
      <c r="E243" s="21">
        <v>86</v>
      </c>
      <c r="F243" s="21">
        <v>87.42</v>
      </c>
      <c r="H243" s="10">
        <f t="shared" si="3"/>
        <v>1.6511627906976765E-2</v>
      </c>
    </row>
    <row r="244" spans="1:8">
      <c r="A244" s="22">
        <v>45397</v>
      </c>
      <c r="B244" s="21">
        <v>89.1</v>
      </c>
      <c r="C244" s="21">
        <v>90.61</v>
      </c>
      <c r="D244" s="21">
        <v>85.93</v>
      </c>
      <c r="E244" s="21">
        <v>88.19</v>
      </c>
      <c r="F244" s="21">
        <v>86</v>
      </c>
      <c r="H244" s="10">
        <f t="shared" si="3"/>
        <v>-2.4832747477038189E-2</v>
      </c>
    </row>
    <row r="245" spans="1:8">
      <c r="A245" s="22">
        <v>45394</v>
      </c>
      <c r="B245" s="21">
        <v>89.7</v>
      </c>
      <c r="C245" s="21">
        <v>90.18</v>
      </c>
      <c r="D245" s="21">
        <v>87.53</v>
      </c>
      <c r="E245" s="21">
        <v>90.62</v>
      </c>
      <c r="F245" s="21">
        <v>88.19</v>
      </c>
      <c r="H245" s="10">
        <f t="shared" si="3"/>
        <v>-2.6815272566762378E-2</v>
      </c>
    </row>
    <row r="246" spans="1:8">
      <c r="A246" s="22">
        <v>45393</v>
      </c>
      <c r="B246" s="21">
        <v>87.42</v>
      </c>
      <c r="C246" s="21">
        <v>90.74</v>
      </c>
      <c r="D246" s="21">
        <v>86.93</v>
      </c>
      <c r="E246" s="21">
        <v>87.04</v>
      </c>
      <c r="F246" s="21">
        <v>90.62</v>
      </c>
      <c r="H246" s="10">
        <f t="shared" si="3"/>
        <v>4.1130514705882332E-2</v>
      </c>
    </row>
    <row r="247" spans="1:8">
      <c r="A247" s="22">
        <v>45392</v>
      </c>
      <c r="B247" s="21">
        <v>83.93</v>
      </c>
      <c r="C247" s="21">
        <v>87.4</v>
      </c>
      <c r="D247" s="21">
        <v>83.71</v>
      </c>
      <c r="E247" s="21">
        <v>85.35</v>
      </c>
      <c r="F247" s="21">
        <v>87.04</v>
      </c>
      <c r="H247" s="10">
        <f t="shared" si="3"/>
        <v>1.9800820152314141E-2</v>
      </c>
    </row>
    <row r="248" spans="1:8">
      <c r="A248" s="22">
        <v>45391</v>
      </c>
      <c r="B248" s="21">
        <v>87.44</v>
      </c>
      <c r="C248" s="21">
        <v>87.64</v>
      </c>
      <c r="D248" s="21">
        <v>83.02</v>
      </c>
      <c r="E248" s="21">
        <v>87.13</v>
      </c>
      <c r="F248" s="21">
        <v>85.35</v>
      </c>
      <c r="H248" s="10">
        <f t="shared" si="3"/>
        <v>-2.0429243658900507E-2</v>
      </c>
    </row>
    <row r="249" spans="1:8">
      <c r="A249" s="22">
        <v>45390</v>
      </c>
      <c r="B249" s="21">
        <v>88.7</v>
      </c>
      <c r="C249" s="21">
        <v>88.83</v>
      </c>
      <c r="D249" s="21">
        <v>86.73</v>
      </c>
      <c r="E249" s="21">
        <v>88.01</v>
      </c>
      <c r="F249" s="21">
        <v>87.13</v>
      </c>
      <c r="H249" s="10">
        <f t="shared" si="3"/>
        <v>-9.9988637654813053E-3</v>
      </c>
    </row>
    <row r="250" spans="1:8">
      <c r="A250" s="22">
        <v>45387</v>
      </c>
      <c r="B250" s="21">
        <v>86.87</v>
      </c>
      <c r="C250" s="21">
        <v>88.48</v>
      </c>
      <c r="D250" s="21">
        <v>85.93</v>
      </c>
      <c r="E250" s="21">
        <v>85.91</v>
      </c>
      <c r="F250" s="21">
        <v>88.01</v>
      </c>
      <c r="H250" s="10">
        <f t="shared" si="3"/>
        <v>2.4444185775811995E-2</v>
      </c>
    </row>
    <row r="251" spans="1:8">
      <c r="A251" s="22">
        <v>45386</v>
      </c>
      <c r="B251" s="21">
        <v>90.41</v>
      </c>
      <c r="C251" s="21">
        <v>90.63</v>
      </c>
      <c r="D251" s="21">
        <v>85.88</v>
      </c>
      <c r="E251" s="21">
        <v>88.96</v>
      </c>
      <c r="F251" s="21">
        <v>85.91</v>
      </c>
      <c r="H251" s="10">
        <f t="shared" si="3"/>
        <v>-3.428507194244601E-2</v>
      </c>
    </row>
    <row r="252" spans="1:8">
      <c r="A252" s="22">
        <v>45385</v>
      </c>
      <c r="B252" s="21">
        <v>88.48</v>
      </c>
      <c r="C252" s="21">
        <v>90.37</v>
      </c>
      <c r="D252" s="21">
        <v>88.4</v>
      </c>
      <c r="E252" s="21">
        <v>89.45</v>
      </c>
      <c r="F252" s="21">
        <v>88.96</v>
      </c>
      <c r="H252" s="10">
        <f t="shared" si="3"/>
        <v>-5.4779206260481732E-3</v>
      </c>
    </row>
    <row r="253" spans="1:8">
      <c r="A253" s="22">
        <v>45384</v>
      </c>
      <c r="B253" s="21">
        <v>88.45</v>
      </c>
      <c r="C253" s="21">
        <v>90.09</v>
      </c>
      <c r="D253" s="21">
        <v>87.62</v>
      </c>
      <c r="E253" s="21">
        <v>90.36</v>
      </c>
      <c r="F253" s="21">
        <v>89.45</v>
      </c>
      <c r="H253" s="10">
        <f t="shared" si="3"/>
        <v>-1.0070827799911428E-2</v>
      </c>
    </row>
    <row r="254" spans="1:8">
      <c r="A254" s="22">
        <v>45383</v>
      </c>
      <c r="B254" s="21">
        <v>90.3</v>
      </c>
      <c r="C254" s="21">
        <v>92.23</v>
      </c>
      <c r="D254" s="21">
        <v>89.2</v>
      </c>
      <c r="E254" s="21">
        <v>90.36</v>
      </c>
      <c r="F254" s="21">
        <v>90.36</v>
      </c>
      <c r="H254" s="10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8253-ADC9-4A0E-ADA0-ADCB2E837D12}">
  <dimension ref="A1:O252"/>
  <sheetViews>
    <sheetView workbookViewId="0">
      <selection activeCell="K24" sqref="K24"/>
    </sheetView>
  </sheetViews>
  <sheetFormatPr defaultRowHeight="14.4"/>
  <cols>
    <col min="1" max="1" width="15" customWidth="1"/>
    <col min="2" max="2" width="18.44140625" customWidth="1"/>
    <col min="3" max="3" width="14.5546875" customWidth="1"/>
    <col min="4" max="4" width="14.44140625" customWidth="1"/>
    <col min="5" max="5" width="17.88671875" customWidth="1"/>
    <col min="6" max="6" width="13.6640625" bestFit="1" customWidth="1"/>
    <col min="9" max="9" width="23.6640625" customWidth="1"/>
    <col min="10" max="10" width="16.88671875" customWidth="1"/>
    <col min="11" max="12" width="13.44140625" customWidth="1"/>
    <col min="13" max="13" width="14" customWidth="1"/>
    <col min="14" max="14" width="13" customWidth="1"/>
    <col min="15" max="15" width="13.33203125" customWidth="1"/>
  </cols>
  <sheetData>
    <row r="1" spans="1:15" ht="27" customHeight="1">
      <c r="A1" s="24" t="s">
        <v>26</v>
      </c>
      <c r="B1" s="24" t="s">
        <v>27</v>
      </c>
      <c r="C1" s="25" t="s">
        <v>28</v>
      </c>
      <c r="D1" s="25" t="s">
        <v>29</v>
      </c>
      <c r="E1" s="24" t="s">
        <v>30</v>
      </c>
      <c r="F1" s="25" t="s">
        <v>50</v>
      </c>
    </row>
    <row r="2" spans="1:15">
      <c r="A2" s="25">
        <v>1.2843475601764926E-2</v>
      </c>
      <c r="B2" s="25">
        <v>1.3302490391010812E-2</v>
      </c>
      <c r="C2" s="25">
        <v>1.9734570033048672E-4</v>
      </c>
      <c r="D2" s="25">
        <v>-1.6861284477551843E-2</v>
      </c>
      <c r="E2" s="25">
        <v>4.7514619883042043E-3</v>
      </c>
      <c r="F2" s="26">
        <v>-1.1762560408498279E-2</v>
      </c>
    </row>
    <row r="3" spans="1:15">
      <c r="A3" s="25">
        <v>1.2607272405556048E-2</v>
      </c>
      <c r="B3" s="25">
        <v>1.2895725272759749E-2</v>
      </c>
      <c r="C3" s="25">
        <v>1.0015945784333334E-2</v>
      </c>
      <c r="D3" s="25">
        <v>1.7827868852458992E-2</v>
      </c>
      <c r="E3" s="25">
        <v>1.4084507042253494E-2</v>
      </c>
      <c r="F3" s="26">
        <v>-1.5794669299111594E-2</v>
      </c>
      <c r="I3" t="s">
        <v>31</v>
      </c>
    </row>
    <row r="4" spans="1:15" ht="28.8">
      <c r="A4" s="25">
        <v>3.9828295791480772E-4</v>
      </c>
      <c r="B4" s="25">
        <v>-3.5466680924629277E-3</v>
      </c>
      <c r="C4" s="25">
        <v>8.6703023296725388E-3</v>
      </c>
      <c r="D4" s="25">
        <v>-3.4206361362128174E-3</v>
      </c>
      <c r="E4" s="25">
        <v>-1.4489224400340896E-2</v>
      </c>
      <c r="F4" s="25">
        <v>-2.0481715893108283E-2</v>
      </c>
      <c r="I4" s="10"/>
      <c r="J4" s="13" t="s">
        <v>32</v>
      </c>
      <c r="K4" s="13" t="s">
        <v>33</v>
      </c>
      <c r="L4" s="14" t="s">
        <v>34</v>
      </c>
      <c r="M4" s="13" t="s">
        <v>51</v>
      </c>
      <c r="N4" s="29" t="s">
        <v>36</v>
      </c>
      <c r="O4" s="14" t="s">
        <v>52</v>
      </c>
    </row>
    <row r="5" spans="1:15">
      <c r="A5" s="25">
        <v>2.1287173461086464E-2</v>
      </c>
      <c r="B5" s="25">
        <v>-7.5585611612591736E-3</v>
      </c>
      <c r="C5" s="25">
        <v>2.4280685496585984E-2</v>
      </c>
      <c r="D5" s="25">
        <v>-1.4341787439613526E-2</v>
      </c>
      <c r="E5" s="25">
        <v>-1.2860576923076978E-2</v>
      </c>
      <c r="F5" s="26">
        <v>-5.7419835943325816E-2</v>
      </c>
      <c r="I5" s="10" t="s">
        <v>32</v>
      </c>
      <c r="J5" s="12">
        <v>1</v>
      </c>
      <c r="K5" s="12">
        <f>CORREL(A2:A250,B2:B250)</f>
        <v>0.1413241791559457</v>
      </c>
      <c r="L5" s="12">
        <f>CORREL(A2:A250,C2:C250)</f>
        <v>2.3378327779890077E-2</v>
      </c>
      <c r="M5" s="12">
        <f>CORREL(A2:A250,D2:D250)</f>
        <v>3.2217751578592163E-2</v>
      </c>
      <c r="N5" s="30">
        <f>CORREL(A2:A250,E2:E250)</f>
        <v>5.7432573395747116E-2</v>
      </c>
      <c r="O5" s="12">
        <f>CORREL(A2:A250,F2:F250)</f>
        <v>6.4805852626045005E-2</v>
      </c>
    </row>
    <row r="6" spans="1:15">
      <c r="A6" s="25">
        <v>-5.0811637213904323E-3</v>
      </c>
      <c r="B6" s="25">
        <v>-3.5660572449121761E-3</v>
      </c>
      <c r="C6" s="25">
        <v>2.9366964424020238E-3</v>
      </c>
      <c r="D6" s="25">
        <v>3.0865798620117239E-2</v>
      </c>
      <c r="E6" s="25">
        <v>6.6545674531155478E-3</v>
      </c>
      <c r="F6" s="26">
        <v>-5.9303187546330526E-3</v>
      </c>
      <c r="I6" s="10" t="s">
        <v>33</v>
      </c>
      <c r="J6" s="12">
        <v>0.1413241791559457</v>
      </c>
      <c r="K6" s="12">
        <v>1</v>
      </c>
      <c r="L6" s="12">
        <f>CORREL(B2:B250,C2:C250)</f>
        <v>0.18900094065962864</v>
      </c>
      <c r="M6" s="12">
        <f>CORREL(B2:B250,D2:D250)</f>
        <v>5.229361780931658E-2</v>
      </c>
      <c r="N6" s="30">
        <f>CORREL(B2:B250,E2:E250)</f>
        <v>0.12561888464141832</v>
      </c>
      <c r="O6" s="12">
        <f>CORREL(B2:B250,F2:F250)</f>
        <v>4.6420156214047235E-2</v>
      </c>
    </row>
    <row r="7" spans="1:15">
      <c r="A7" s="25">
        <v>9.4870630957785244E-3</v>
      </c>
      <c r="B7" s="25">
        <v>1.5172479603034365E-2</v>
      </c>
      <c r="C7" s="25">
        <v>2.2234538089017326E-2</v>
      </c>
      <c r="D7" s="25">
        <v>6.8947505876208121E-3</v>
      </c>
      <c r="E7" s="25">
        <v>2.6835631755497608E-2</v>
      </c>
      <c r="F7" s="26">
        <v>3.1520815632965112E-2</v>
      </c>
      <c r="I7" s="10" t="s">
        <v>34</v>
      </c>
      <c r="J7" s="12">
        <v>2.3378327779890077E-2</v>
      </c>
      <c r="K7" s="12">
        <v>0.18900094065962864</v>
      </c>
      <c r="L7" s="12">
        <v>1</v>
      </c>
      <c r="M7" s="12">
        <f>CORREL(C2:C250,D2:D250)</f>
        <v>0.21717939929793353</v>
      </c>
      <c r="N7" s="30">
        <f>CORREL(C2:C250,E2:E250)</f>
        <v>0.24059499872286794</v>
      </c>
      <c r="O7" s="12">
        <f>CORREL(C2:C250,F2:F250)</f>
        <v>4.3313729296189001E-3</v>
      </c>
    </row>
    <row r="8" spans="1:15">
      <c r="A8" s="25">
        <v>2.5318812249837147E-2</v>
      </c>
      <c r="B8" s="25">
        <v>6.1013731569955119E-2</v>
      </c>
      <c r="C8" s="25">
        <v>3.6885218761796138E-3</v>
      </c>
      <c r="D8" s="25">
        <v>9.331505693800108E-3</v>
      </c>
      <c r="E8" s="25">
        <v>2.3264683447749752E-2</v>
      </c>
      <c r="F8" s="26">
        <v>-7.002446637981931E-3</v>
      </c>
      <c r="I8" s="10" t="s">
        <v>35</v>
      </c>
      <c r="J8" s="12">
        <v>3.2217751578592163E-2</v>
      </c>
      <c r="K8" s="12">
        <v>5.2293618E-2</v>
      </c>
      <c r="L8" s="12">
        <v>0.21717939929793353</v>
      </c>
      <c r="M8" s="12">
        <v>1</v>
      </c>
      <c r="N8" s="30">
        <f>CORREL(D2:D250,E2:E250)</f>
        <v>0.35115208670571979</v>
      </c>
      <c r="O8" s="12">
        <f>CORREL(D2:D250,F2:F250)</f>
        <v>-9.7502573221494443E-2</v>
      </c>
    </row>
    <row r="9" spans="1:15">
      <c r="A9" s="25">
        <v>-8.6282471277627799E-3</v>
      </c>
      <c r="B9" s="25">
        <v>-9.0407338799917004E-4</v>
      </c>
      <c r="C9" s="25">
        <v>-2.0552471583399658E-3</v>
      </c>
      <c r="D9" s="25">
        <v>1.1734585022402389E-2</v>
      </c>
      <c r="E9" s="25">
        <v>2.7295285359801458E-2</v>
      </c>
      <c r="F9" s="26">
        <v>8.5942818243703641E-3</v>
      </c>
      <c r="I9" s="27" t="s">
        <v>36</v>
      </c>
      <c r="J9" s="28">
        <v>5.7432573395747116E-2</v>
      </c>
      <c r="K9" s="28">
        <v>0.12561888464141832</v>
      </c>
      <c r="L9" s="28">
        <v>0.24059499872286794</v>
      </c>
      <c r="M9" s="28">
        <v>0.35115208670571979</v>
      </c>
      <c r="N9" s="31">
        <v>1</v>
      </c>
      <c r="O9" s="12">
        <f>CORREL(E2:E250,F2:F250)</f>
        <v>8.6392403765233119E-2</v>
      </c>
    </row>
    <row r="10" spans="1:15">
      <c r="A10" s="25">
        <v>2.9791884443599866E-2</v>
      </c>
      <c r="B10" s="25">
        <v>2.544603495669312E-2</v>
      </c>
      <c r="C10" s="25">
        <v>2.7284268267017849E-2</v>
      </c>
      <c r="D10" s="25">
        <v>8.0072599156568629E-4</v>
      </c>
      <c r="E10" s="25">
        <v>1.2964677867442874E-2</v>
      </c>
      <c r="F10" s="26">
        <v>1.8106211556787568E-2</v>
      </c>
      <c r="I10" s="10" t="s">
        <v>52</v>
      </c>
      <c r="J10" s="14">
        <v>6.4805852626045005E-2</v>
      </c>
      <c r="K10" s="14">
        <v>4.6420156214047235E-2</v>
      </c>
      <c r="L10" s="14">
        <v>4.3313729296189001E-3</v>
      </c>
      <c r="M10" s="14">
        <v>-9.7502573221494443E-2</v>
      </c>
      <c r="N10" s="14">
        <v>8.6392403765233119E-2</v>
      </c>
      <c r="O10" s="32">
        <v>1</v>
      </c>
    </row>
    <row r="11" spans="1:15">
      <c r="A11" s="25">
        <v>2.583349580814974E-2</v>
      </c>
      <c r="B11" s="25">
        <v>4.8009588889394838E-3</v>
      </c>
      <c r="C11" s="25">
        <v>9.983201343892514E-3</v>
      </c>
      <c r="D11" s="25">
        <v>-1.4519438160871237E-2</v>
      </c>
      <c r="E11" s="25">
        <v>-2.4770997290672229E-2</v>
      </c>
      <c r="F11" s="26">
        <v>-3.4301012298167774E-2</v>
      </c>
    </row>
    <row r="12" spans="1:15">
      <c r="A12" s="25">
        <v>-1.6867931761548913E-2</v>
      </c>
      <c r="B12" s="25">
        <v>-4.0613220706255063E-3</v>
      </c>
      <c r="C12" s="25">
        <v>-1.4600759428671835E-2</v>
      </c>
      <c r="D12" s="25">
        <v>-2.6627067438168877E-2</v>
      </c>
      <c r="E12" s="25">
        <v>5.1873946310465567E-3</v>
      </c>
      <c r="F12" s="26">
        <v>-1.7588559217555689E-2</v>
      </c>
    </row>
    <row r="13" spans="1:15">
      <c r="A13" s="25">
        <v>4.089881152865322E-3</v>
      </c>
      <c r="B13" s="25">
        <v>-1.2872485542469595E-2</v>
      </c>
      <c r="C13" s="25">
        <v>-3.0371719448120463E-2</v>
      </c>
      <c r="D13" s="25">
        <v>2.4821578505457697E-2</v>
      </c>
      <c r="E13" s="25">
        <v>9.2931937172775168E-3</v>
      </c>
      <c r="F13" s="26">
        <v>5.2690776951029618E-2</v>
      </c>
    </row>
    <row r="14" spans="1:15">
      <c r="A14" s="25">
        <v>-4.6455938697317137E-3</v>
      </c>
      <c r="B14" s="25">
        <v>2.3834190096516994E-2</v>
      </c>
      <c r="C14" s="25">
        <v>1.2947024042577217E-2</v>
      </c>
      <c r="D14" s="25">
        <v>-4.5967404931049841E-3</v>
      </c>
      <c r="E14" s="25">
        <v>-4.6899426784784036E-3</v>
      </c>
      <c r="F14" s="26">
        <v>-1.382408847416594E-3</v>
      </c>
    </row>
    <row r="15" spans="1:15">
      <c r="A15" s="25">
        <v>-1.2436621065722324E-3</v>
      </c>
      <c r="B15" s="25">
        <v>2.1082865234362022E-2</v>
      </c>
      <c r="C15" s="25">
        <v>-2.2407473482759715E-2</v>
      </c>
      <c r="D15" s="25">
        <v>2.9863257714675146E-3</v>
      </c>
      <c r="E15" s="25">
        <v>-1.3367609254498685E-2</v>
      </c>
      <c r="F15" s="26">
        <v>6.4178006620080816E-2</v>
      </c>
    </row>
    <row r="16" spans="1:15">
      <c r="A16" s="25">
        <v>1.4558866349606911E-2</v>
      </c>
      <c r="B16" s="25">
        <v>2.0089330556541423E-4</v>
      </c>
      <c r="C16" s="25">
        <v>1.0767001304892412E-2</v>
      </c>
      <c r="D16" s="25">
        <v>-4.017950323523296E-3</v>
      </c>
      <c r="E16" s="25">
        <v>-1.1686991869918756E-2</v>
      </c>
      <c r="F16" s="26">
        <v>1.6638624041876996E-2</v>
      </c>
      <c r="I16" t="s">
        <v>37</v>
      </c>
    </row>
    <row r="17" spans="1:15" ht="28.8">
      <c r="A17" s="25">
        <v>3.9289857265345167E-2</v>
      </c>
      <c r="B17" s="25">
        <v>1.7330998916812543E-2</v>
      </c>
      <c r="C17" s="25">
        <v>-2.4193135573699186E-2</v>
      </c>
      <c r="D17" s="25">
        <v>-7.1495181846440549E-3</v>
      </c>
      <c r="E17" s="25">
        <v>2.0349967595593061E-2</v>
      </c>
      <c r="F17" s="25">
        <v>-5.0669979590025678E-2</v>
      </c>
      <c r="I17" s="10"/>
      <c r="J17" s="13" t="s">
        <v>32</v>
      </c>
      <c r="K17" s="13" t="s">
        <v>33</v>
      </c>
      <c r="L17" s="14" t="s">
        <v>34</v>
      </c>
      <c r="M17" s="13" t="s">
        <v>35</v>
      </c>
      <c r="N17" s="29" t="s">
        <v>36</v>
      </c>
      <c r="O17" s="14" t="s">
        <v>52</v>
      </c>
    </row>
    <row r="18" spans="1:15">
      <c r="A18" s="25">
        <v>1.110830598333777E-3</v>
      </c>
      <c r="B18" s="25">
        <v>4.5440547476475373E-3</v>
      </c>
      <c r="C18" s="25">
        <v>8.3439631745327522E-2</v>
      </c>
      <c r="D18" s="25">
        <v>1.7715912685858978E-2</v>
      </c>
      <c r="E18" s="25">
        <v>4.2004321988114567E-2</v>
      </c>
      <c r="F18" s="26">
        <v>1.9173374333001762E-2</v>
      </c>
      <c r="I18" s="10" t="s">
        <v>32</v>
      </c>
      <c r="J18" s="12">
        <f>_xlfn.VAR.S(A2:A250)</f>
        <v>3.187074610701372E-4</v>
      </c>
      <c r="K18" s="12">
        <f>_xlfn.COVARIANCE.S(A2:A250,B2:B250)</f>
        <v>7.1032969584722765E-5</v>
      </c>
      <c r="L18" s="12">
        <f>_xlfn.COVARIANCE.S(A2:A250,C2:C250)</f>
        <v>9.4515508069849341E-6</v>
      </c>
      <c r="M18" s="12">
        <f>_xlfn.COVARIANCE.S(A2:A250,D2:D250)</f>
        <v>1.5262839719021602E-5</v>
      </c>
      <c r="N18" s="30">
        <f>_xlfn.COVARIANCE.S(A2:A250,E2:E250)</f>
        <v>2.0376786317484597E-5</v>
      </c>
      <c r="O18" s="12">
        <f>_xlfn.COVARIANCE.S(A2:A250,F2:F250)</f>
        <v>4.124507455379081E-5</v>
      </c>
    </row>
    <row r="19" spans="1:15">
      <c r="A19" s="25">
        <v>-8.1133870886963711E-3</v>
      </c>
      <c r="B19" s="25">
        <v>6.5330553206380718E-2</v>
      </c>
      <c r="C19" s="25">
        <v>-1.9661413202302629E-2</v>
      </c>
      <c r="D19" s="25">
        <v>8.8297872340425045E-3</v>
      </c>
      <c r="E19" s="25">
        <v>-4.8387096774193854E-3</v>
      </c>
      <c r="F19" s="26">
        <v>-5.7374254049445898E-2</v>
      </c>
      <c r="I19" s="10" t="s">
        <v>33</v>
      </c>
      <c r="J19" s="12">
        <v>7.1032969584722765E-5</v>
      </c>
      <c r="K19" s="12">
        <f>_xlfn.VAR.S(B2:B250)</f>
        <v>7.9267428249412059E-4</v>
      </c>
      <c r="L19" s="12">
        <f>_xlfn.COVARIANCE.S(B2:B250,C2:C250)</f>
        <v>1.2050494372739537E-4</v>
      </c>
      <c r="M19" s="12">
        <f>_xlfn.COVARIANCE.S(B2:B250,D2:D250)</f>
        <v>3.9069699630410255E-5</v>
      </c>
      <c r="N19" s="30">
        <f>_xlfn.COVARIANCE.S(B2:B250,E2:E250)</f>
        <v>7.0288393420350078E-5</v>
      </c>
      <c r="O19" s="12">
        <f>_xlfn.COVARIANCE.S(B2:B250,F2:F250)</f>
        <v>4.6592469601082735E-5</v>
      </c>
    </row>
    <row r="20" spans="1:15">
      <c r="A20" s="25">
        <v>-6.7651594289409086E-3</v>
      </c>
      <c r="B20" s="25">
        <v>2.3818232031827338E-2</v>
      </c>
      <c r="C20" s="25">
        <v>-6.9273242191471979E-4</v>
      </c>
      <c r="D20" s="25">
        <v>-7.4441687344912674E-3</v>
      </c>
      <c r="E20" s="25">
        <v>4.4552450384770549E-3</v>
      </c>
      <c r="F20" s="26">
        <v>1.1294077075609987E-2</v>
      </c>
      <c r="I20" s="10" t="s">
        <v>34</v>
      </c>
      <c r="J20" s="12">
        <v>9.4515508069849341E-6</v>
      </c>
      <c r="K20" s="12">
        <v>1.2050494372739537E-4</v>
      </c>
      <c r="L20" s="12">
        <f>_xlfn.VAR.S(C2:C250)</f>
        <v>5.1284606665990141E-4</v>
      </c>
      <c r="M20" s="12">
        <f>_xlfn.COVARIANCE.S(C2:C250,D2:D250)</f>
        <v>1.3051371200634244E-4</v>
      </c>
      <c r="N20" s="30">
        <f>_xlfn.COVARIANCE.S(C2:C250,E2:E250)</f>
        <v>1.0828328175584936E-4</v>
      </c>
      <c r="O20" s="12">
        <f>_xlfn.COVARIANCE.S(C2:C250,F2:F250)</f>
        <v>3.4968809023505606E-6</v>
      </c>
    </row>
    <row r="21" spans="1:15">
      <c r="A21" s="25">
        <v>-4.3988967091497154E-2</v>
      </c>
      <c r="B21" s="25">
        <v>-2.7835627571493906E-2</v>
      </c>
      <c r="C21" s="25">
        <v>-1.6938175991454182E-2</v>
      </c>
      <c r="D21" s="25">
        <v>-3.2734143601266537E-2</v>
      </c>
      <c r="E21" s="25">
        <v>-2.5009872318020269E-2</v>
      </c>
      <c r="F21" s="26">
        <v>1.6920918814658886E-2</v>
      </c>
      <c r="I21" s="10" t="s">
        <v>35</v>
      </c>
      <c r="J21" s="12">
        <v>1.5262839719021602E-5</v>
      </c>
      <c r="K21" s="12">
        <v>3.9069699630410255E-5</v>
      </c>
      <c r="L21" s="12">
        <v>1.3051371200634244E-4</v>
      </c>
      <c r="M21" s="12">
        <f>_xlfn.VAR.S(D2:D250)</f>
        <v>7.0418699392260327E-4</v>
      </c>
      <c r="N21" s="30">
        <f>_xlfn.COVARIANCE.S(D2:D250,E2:E250)</f>
        <v>1.8519128832657908E-4</v>
      </c>
      <c r="O21" s="12">
        <f>_xlfn.COVARIANCE.S(D2:D250,F2:F250)</f>
        <v>-9.2240537723824694E-5</v>
      </c>
    </row>
    <row r="22" spans="1:15">
      <c r="A22" s="25">
        <v>-5.3921104909656781E-3</v>
      </c>
      <c r="B22" s="25">
        <v>-4.1694969144278121E-3</v>
      </c>
      <c r="C22" s="25">
        <v>-1.8961847060749958E-2</v>
      </c>
      <c r="D22" s="25">
        <v>2.9707027248514414E-3</v>
      </c>
      <c r="E22" s="25">
        <v>-3.6891480730223011E-2</v>
      </c>
      <c r="F22" s="26">
        <v>-8.6935638808837645E-2</v>
      </c>
      <c r="I22" s="27" t="s">
        <v>36</v>
      </c>
      <c r="J22" s="28">
        <v>2.0376786317484597E-5</v>
      </c>
      <c r="K22" s="28">
        <v>7.0288393420350078E-5</v>
      </c>
      <c r="L22" s="28">
        <v>1.0828328175584936E-4</v>
      </c>
      <c r="M22" s="28">
        <v>1.8519128832657908E-4</v>
      </c>
      <c r="N22" s="31">
        <f>_xlfn.VAR.S(E2:E250)</f>
        <v>3.9496862612566937E-4</v>
      </c>
      <c r="O22" s="12">
        <f>_xlfn.COVARIANCE.S(E2:E250,F2:F250)</f>
        <v>6.1209468213990707E-5</v>
      </c>
    </row>
    <row r="23" spans="1:15">
      <c r="A23" s="25">
        <v>1.1966302891058779E-2</v>
      </c>
      <c r="B23" s="25">
        <v>3.6043484251826272E-3</v>
      </c>
      <c r="C23" s="25">
        <v>7.0132662157206807E-4</v>
      </c>
      <c r="D23" s="25">
        <v>-2.1108047129606372E-2</v>
      </c>
      <c r="E23" s="25">
        <v>-3.0124185417435143E-2</v>
      </c>
      <c r="F23" s="26">
        <v>3.970037453183517E-2</v>
      </c>
      <c r="I23" s="10" t="s">
        <v>52</v>
      </c>
      <c r="J23" s="12">
        <v>4.124507455379081E-5</v>
      </c>
      <c r="K23" s="12">
        <v>4.6592469601082735E-5</v>
      </c>
      <c r="L23" s="12">
        <v>3.4968809023505606E-6</v>
      </c>
      <c r="M23" s="12">
        <v>-9.2240537723824694E-5</v>
      </c>
      <c r="N23" s="12">
        <v>6.1209468213990707E-5</v>
      </c>
      <c r="O23" s="32">
        <f>_xlfn.VAR.S(F2:F250)</f>
        <v>1.2709354619084645E-3</v>
      </c>
    </row>
    <row r="24" spans="1:15">
      <c r="A24" s="25">
        <v>-7.2229614141799429E-3</v>
      </c>
      <c r="B24" s="25">
        <v>3.5151303436530626E-3</v>
      </c>
      <c r="C24" s="25">
        <v>1.7635602038366081E-2</v>
      </c>
      <c r="D24" s="25">
        <v>-8.7470801650016954E-3</v>
      </c>
      <c r="E24" s="25">
        <v>3.3308660251664592E-3</v>
      </c>
      <c r="F24" s="26">
        <v>-8.4780621572212028E-2</v>
      </c>
    </row>
    <row r="25" spans="1:15">
      <c r="A25" s="25">
        <v>-2.0844965568583534E-2</v>
      </c>
      <c r="B25" s="25">
        <v>-1.5123713409214713E-2</v>
      </c>
      <c r="C25" s="25">
        <v>-3.8128660973778997E-2</v>
      </c>
      <c r="D25" s="25">
        <v>-1.0766961651917449E-2</v>
      </c>
      <c r="E25" s="25">
        <v>1.1858694295343902E-2</v>
      </c>
      <c r="F25" s="26">
        <v>3.6721156124141244E-2</v>
      </c>
    </row>
    <row r="26" spans="1:15">
      <c r="A26" s="25">
        <v>4.8901903367496252E-2</v>
      </c>
      <c r="B26" s="25">
        <v>1.8167065193196393E-3</v>
      </c>
      <c r="C26" s="25">
        <v>2.4052529695871489E-3</v>
      </c>
      <c r="D26" s="25">
        <v>-6.6904331689212511E-3</v>
      </c>
      <c r="E26" s="25">
        <v>1.3665696570922521E-2</v>
      </c>
      <c r="F26" s="26">
        <v>-2.8016579674547171E-2</v>
      </c>
    </row>
    <row r="27" spans="1:15">
      <c r="A27" s="25">
        <v>8.8129584953966274E-3</v>
      </c>
      <c r="B27" s="25">
        <v>-2.0280051022602648E-3</v>
      </c>
      <c r="C27" s="25">
        <v>1.0712080340602507E-2</v>
      </c>
      <c r="D27" s="25">
        <v>5.1342609231401139E-2</v>
      </c>
      <c r="E27" s="25">
        <v>6.1107574793124817E-3</v>
      </c>
      <c r="F27" s="26">
        <v>-3.0871085323216585E-2</v>
      </c>
      <c r="K27" s="26"/>
      <c r="N27" s="26"/>
    </row>
    <row r="28" spans="1:15">
      <c r="A28" s="25">
        <v>-2.2804907385133553E-2</v>
      </c>
      <c r="B28" s="25">
        <v>-4.3451892547536394E-3</v>
      </c>
      <c r="C28" s="25">
        <v>1.0801736086257956E-3</v>
      </c>
      <c r="D28" s="25">
        <v>-1.3623012255646645E-2</v>
      </c>
      <c r="E28" s="25">
        <v>3.3209860774045508E-3</v>
      </c>
      <c r="F28" s="26">
        <v>-4.0539576047391383E-2</v>
      </c>
    </row>
    <row r="29" spans="1:15">
      <c r="A29" s="25">
        <v>-1.8556993106053535E-2</v>
      </c>
      <c r="B29" s="25">
        <v>-1.3500102060208434E-2</v>
      </c>
      <c r="C29" s="25">
        <v>-1.4037608987149369E-2</v>
      </c>
      <c r="D29" s="25">
        <v>-2.9012588512981906E-2</v>
      </c>
      <c r="E29" s="25">
        <v>-5.2096569250317951E-3</v>
      </c>
      <c r="F29" s="26">
        <v>6.3204769087123747E-3</v>
      </c>
    </row>
    <row r="30" spans="1:15">
      <c r="A30" s="25">
        <v>5.7940729483283975E-3</v>
      </c>
      <c r="B30" s="25">
        <v>-3.940473695242095E-2</v>
      </c>
      <c r="C30" s="25">
        <v>-1.0424801122475472E-2</v>
      </c>
      <c r="D30" s="25">
        <v>-9.1600077957514035E-3</v>
      </c>
      <c r="E30" s="25">
        <v>-2.3209631376442899E-2</v>
      </c>
      <c r="F30" s="26">
        <v>-1.2195121951220653E-3</v>
      </c>
      <c r="K30" s="33"/>
    </row>
    <row r="31" spans="1:15">
      <c r="A31" s="25">
        <v>-1.8597063621533485E-2</v>
      </c>
      <c r="B31" s="25">
        <v>-1.3776364133442714E-2</v>
      </c>
      <c r="C31" s="25">
        <v>-1.610988956074157E-2</v>
      </c>
      <c r="D31" s="25">
        <v>9.7456388266383817E-5</v>
      </c>
      <c r="E31" s="25">
        <v>-5.922270203577982E-3</v>
      </c>
      <c r="F31" s="26">
        <v>3.9611091105510362E-3</v>
      </c>
    </row>
    <row r="32" spans="1:15">
      <c r="A32" s="25">
        <v>1.4002333722287048E-3</v>
      </c>
      <c r="B32" s="25">
        <v>6.7872391847257152E-3</v>
      </c>
      <c r="C32" s="25">
        <v>-1.1405810973538811E-2</v>
      </c>
      <c r="D32" s="25">
        <v>-3.0563559922528353E-2</v>
      </c>
      <c r="E32" s="25">
        <v>-3.7982195845697328E-2</v>
      </c>
      <c r="F32" s="26">
        <v>2.6313844334392805E-2</v>
      </c>
    </row>
    <row r="33" spans="1:6">
      <c r="A33" s="25">
        <v>-1.8327605956471937E-2</v>
      </c>
      <c r="B33" s="25">
        <v>-1.3144295746654275E-2</v>
      </c>
      <c r="C33" s="25">
        <v>-3.7756478438876064E-2</v>
      </c>
      <c r="D33" s="25">
        <v>-4.2473312827935629E-2</v>
      </c>
      <c r="E33" s="25">
        <v>-5.0490251324242036E-2</v>
      </c>
      <c r="F33" s="26">
        <v>3.1645569620253208E-2</v>
      </c>
    </row>
    <row r="34" spans="1:6">
      <c r="A34" s="25">
        <v>-1.4004969505308336E-2</v>
      </c>
      <c r="B34" s="25">
        <v>-8.5196108698937009E-3</v>
      </c>
      <c r="C34" s="25">
        <v>-1.4222368012558754E-2</v>
      </c>
      <c r="D34" s="25">
        <v>-3.6016394872242043E-2</v>
      </c>
      <c r="E34" s="25">
        <v>-3.7217881944444517E-2</v>
      </c>
      <c r="F34" s="26">
        <v>-1.2500000000000188E-2</v>
      </c>
    </row>
    <row r="35" spans="1:6">
      <c r="A35" s="25">
        <v>-1.1477313326187844E-2</v>
      </c>
      <c r="B35" s="25">
        <v>1.6910119752599506E-3</v>
      </c>
      <c r="C35" s="25">
        <v>1.7016083132367524E-3</v>
      </c>
      <c r="D35" s="25">
        <v>-7.6157507572479051E-3</v>
      </c>
      <c r="E35" s="25">
        <v>-2.0199872421858389E-2</v>
      </c>
      <c r="F35" s="26">
        <v>-5.7647675376205874E-3</v>
      </c>
    </row>
    <row r="36" spans="1:6">
      <c r="A36" s="25">
        <v>7.5977653631276783E-4</v>
      </c>
      <c r="B36" s="25">
        <v>8.9422636474079872E-3</v>
      </c>
      <c r="C36" s="25">
        <v>2.2582523244121461E-3</v>
      </c>
      <c r="D36" s="25">
        <v>-2.7186812238381656E-3</v>
      </c>
      <c r="E36" s="25">
        <v>-1.652028439983266E-2</v>
      </c>
      <c r="F36" s="26">
        <v>2.8727664818237752E-2</v>
      </c>
    </row>
    <row r="37" spans="1:6">
      <c r="A37" s="25">
        <v>-1.4534243558687513E-2</v>
      </c>
      <c r="B37" s="25">
        <v>6.2324649298596711E-3</v>
      </c>
      <c r="C37" s="25">
        <v>5.0951347964606391E-3</v>
      </c>
      <c r="D37" s="25">
        <v>4.7491581037922625E-4</v>
      </c>
      <c r="E37" s="25">
        <v>2.2778312479948621E-2</v>
      </c>
      <c r="F37" s="26">
        <v>9.0146098849859854E-3</v>
      </c>
    </row>
    <row r="38" spans="1:6">
      <c r="A38" s="25">
        <v>-1.7567392150923764E-2</v>
      </c>
      <c r="B38" s="25">
        <v>3.0755623454680439E-3</v>
      </c>
      <c r="C38" s="25">
        <v>1.3776201148116502E-2</v>
      </c>
      <c r="D38" s="25">
        <v>-4.4272512357619526E-3</v>
      </c>
      <c r="E38" s="25">
        <v>1.3328998699609958E-2</v>
      </c>
      <c r="F38" s="26">
        <v>3.0841945045261623E-2</v>
      </c>
    </row>
    <row r="39" spans="1:6">
      <c r="A39" s="25">
        <v>-3.0334815809348065E-2</v>
      </c>
      <c r="B39" s="25">
        <v>6.9835229342941584E-3</v>
      </c>
      <c r="C39" s="25">
        <v>3.315235223832548E-2</v>
      </c>
      <c r="D39" s="25">
        <v>-4.7258979206045242E-4</v>
      </c>
      <c r="E39" s="25">
        <v>4.1349292709466313E-3</v>
      </c>
      <c r="F39" s="26">
        <v>5.208596713021485E-2</v>
      </c>
    </row>
    <row r="40" spans="1:6">
      <c r="A40" s="25">
        <v>6.2831661092530702E-2</v>
      </c>
      <c r="B40" s="25">
        <v>2.4215283824687954E-2</v>
      </c>
      <c r="C40" s="25">
        <v>-2.2689182402875173E-2</v>
      </c>
      <c r="D40" s="25">
        <v>-6.1910251483711203E-3</v>
      </c>
      <c r="E40" s="25">
        <v>-5.4526748971193417E-2</v>
      </c>
      <c r="F40" s="26">
        <v>1.7058117606720463E-2</v>
      </c>
    </row>
    <row r="41" spans="1:6">
      <c r="A41" s="25">
        <v>2.4586499776486368E-3</v>
      </c>
      <c r="B41" s="25">
        <v>-3.8139560500082361E-3</v>
      </c>
      <c r="C41" s="25">
        <v>-7.6254750911154204E-3</v>
      </c>
      <c r="D41" s="25">
        <v>5.1306221384325217E-2</v>
      </c>
      <c r="E41" s="25">
        <v>1.5037593984962383E-2</v>
      </c>
      <c r="F41" s="26">
        <v>-2.8400099941700646E-2</v>
      </c>
    </row>
    <row r="42" spans="1:6">
      <c r="A42" s="25">
        <v>3.1301703707007917E-4</v>
      </c>
      <c r="B42" s="25">
        <v>8.0292021457470716E-3</v>
      </c>
      <c r="C42" s="25">
        <v>-4.7927468544740379E-2</v>
      </c>
      <c r="D42" s="25">
        <v>1.9075065184575395E-2</v>
      </c>
      <c r="E42" s="25">
        <v>1.9374068554396471E-2</v>
      </c>
      <c r="F42" s="26">
        <v>-3.6742880064179799E-2</v>
      </c>
    </row>
    <row r="43" spans="1:6">
      <c r="A43" s="25">
        <v>-6.8392769907179634E-3</v>
      </c>
      <c r="B43" s="25">
        <v>2.1978723404255295E-2</v>
      </c>
      <c r="C43" s="25">
        <v>2.9151174283428252E-2</v>
      </c>
      <c r="D43" s="25">
        <v>7.8064897918926901E-2</v>
      </c>
      <c r="E43" s="25">
        <v>6.6438062580367893E-3</v>
      </c>
      <c r="F43" s="26">
        <v>7.6798706548100474E-3</v>
      </c>
    </row>
    <row r="44" spans="1:6">
      <c r="A44" s="25">
        <v>-7.1006967558707838E-4</v>
      </c>
      <c r="B44" s="25">
        <v>4.3450388204288055E-3</v>
      </c>
      <c r="C44" s="25">
        <v>-3.4413806423759206E-2</v>
      </c>
      <c r="D44" s="25">
        <v>-3.9296591020728956E-3</v>
      </c>
      <c r="E44" s="25">
        <v>-3.5850811034197676E-2</v>
      </c>
      <c r="F44" s="26">
        <v>-4.1010931079928724E-2</v>
      </c>
    </row>
    <row r="45" spans="1:6">
      <c r="A45" s="25">
        <v>-3.2733224222584317E-3</v>
      </c>
      <c r="B45" s="25">
        <v>1.311953352769674E-2</v>
      </c>
      <c r="C45" s="25">
        <v>-4.6878045611071367E-2</v>
      </c>
      <c r="D45" s="25">
        <v>-1.2514551804423728E-2</v>
      </c>
      <c r="E45" s="25">
        <v>-2.1829206670035396E-2</v>
      </c>
      <c r="F45" s="26">
        <v>8.9258571187299504E-2</v>
      </c>
    </row>
    <row r="46" spans="1:6">
      <c r="A46" s="25">
        <v>-1.2967167307020726E-2</v>
      </c>
      <c r="B46" s="25">
        <v>-2.0789462526675729E-2</v>
      </c>
      <c r="C46" s="25">
        <v>4.148339848528468E-3</v>
      </c>
      <c r="D46" s="25">
        <v>-2.4925507260086209E-2</v>
      </c>
      <c r="E46" s="25">
        <v>-1.6890213611525089E-2</v>
      </c>
      <c r="F46" s="26">
        <v>-0.1696816715748142</v>
      </c>
    </row>
    <row r="47" spans="1:6">
      <c r="A47" s="25">
        <v>-6.7649609713789716E-3</v>
      </c>
      <c r="B47" s="25">
        <v>1.7156986063093353E-2</v>
      </c>
      <c r="C47" s="25">
        <v>0.11767458253323934</v>
      </c>
      <c r="D47" s="25">
        <v>-1.1778452909558222E-2</v>
      </c>
      <c r="E47" s="25">
        <v>1.656398343601654E-2</v>
      </c>
      <c r="F47" s="26">
        <v>-3.1245754652900384E-2</v>
      </c>
    </row>
    <row r="48" spans="1:6">
      <c r="A48" s="25">
        <v>-5.1339574614953582E-3</v>
      </c>
      <c r="B48" s="25">
        <v>3.0234590207636112E-2</v>
      </c>
      <c r="C48" s="25">
        <v>-3.9825204875863548E-3</v>
      </c>
      <c r="D48" s="25">
        <v>-3.842696629213483E-2</v>
      </c>
      <c r="E48" s="25">
        <v>-8.4126189283925661E-3</v>
      </c>
      <c r="F48" s="26">
        <v>1.0199224858911109E-3</v>
      </c>
    </row>
    <row r="49" spans="1:6">
      <c r="A49" s="25">
        <v>-6.6000942870612818E-3</v>
      </c>
      <c r="B49" s="25">
        <v>-2.7718979941538151E-2</v>
      </c>
      <c r="C49" s="25">
        <v>-4.6293623948003369E-2</v>
      </c>
      <c r="D49" s="25">
        <v>-2.1547933157431837E-2</v>
      </c>
      <c r="E49" s="25">
        <v>-1.3002600520103567E-3</v>
      </c>
      <c r="F49" s="26">
        <v>4.4308741035290637E-2</v>
      </c>
    </row>
    <row r="50" spans="1:6">
      <c r="A50" s="25">
        <v>-1.7764681119764182E-2</v>
      </c>
      <c r="B50" s="25">
        <v>3.5258587055473946E-3</v>
      </c>
      <c r="C50" s="25">
        <v>2.3780456052445559E-3</v>
      </c>
      <c r="D50" s="25">
        <v>3.4418850939900198E-3</v>
      </c>
      <c r="E50" s="25">
        <v>-2.0000000000004546E-4</v>
      </c>
      <c r="F50" s="26">
        <v>2.2656306731537321E-2</v>
      </c>
    </row>
    <row r="51" spans="1:6">
      <c r="A51" s="25">
        <v>3.318545581071685E-2</v>
      </c>
      <c r="B51" s="25">
        <v>1.9865890501805348E-2</v>
      </c>
      <c r="C51" s="25">
        <v>-1.028477841341844E-2</v>
      </c>
      <c r="D51" s="25">
        <v>-4.1307786957286395E-3</v>
      </c>
      <c r="E51" s="25">
        <v>2.2076860179885551E-2</v>
      </c>
      <c r="F51" s="26">
        <v>3.0994983903571274E-2</v>
      </c>
    </row>
    <row r="52" spans="1:6">
      <c r="A52" s="25">
        <v>1.8471760797342113E-2</v>
      </c>
      <c r="B52" s="25">
        <v>7.3635297436126373E-3</v>
      </c>
      <c r="C52" s="25">
        <v>1.7242684965660261E-2</v>
      </c>
      <c r="D52" s="25">
        <v>3.0849377123442767E-2</v>
      </c>
      <c r="E52" s="25">
        <v>-3.4630270930942936E-3</v>
      </c>
      <c r="F52" s="26">
        <v>-1.9597768643570285E-2</v>
      </c>
    </row>
    <row r="53" spans="1:6">
      <c r="A53" s="25">
        <v>-1.0259108246744746E-2</v>
      </c>
      <c r="B53" s="25">
        <v>-4.2257326072429047E-2</v>
      </c>
      <c r="C53" s="25">
        <v>-1.0532563660908794E-3</v>
      </c>
      <c r="D53" s="25">
        <v>2.0809248554913295E-2</v>
      </c>
      <c r="E53" s="25">
        <v>7.9047325736576659E-3</v>
      </c>
      <c r="F53" s="26">
        <v>3.4001214329083325E-2</v>
      </c>
    </row>
    <row r="54" spans="1:6">
      <c r="A54" s="25">
        <v>-1.6005176876617736E-2</v>
      </c>
      <c r="B54" s="25">
        <v>-4.3601976245415813E-3</v>
      </c>
      <c r="C54" s="25">
        <v>-1.2997455646110774E-2</v>
      </c>
      <c r="D54" s="25">
        <v>1.7168391345249296E-2</v>
      </c>
      <c r="E54" s="25">
        <v>3.3966670204861479E-2</v>
      </c>
      <c r="F54" s="26">
        <v>-1.1033551002026564E-2</v>
      </c>
    </row>
    <row r="55" spans="1:6">
      <c r="A55" s="25">
        <v>-1.3029038576173001E-2</v>
      </c>
      <c r="B55" s="25">
        <v>2.2664263429535099E-2</v>
      </c>
      <c r="C55" s="25">
        <v>-7.4286352301909303E-2</v>
      </c>
      <c r="D55" s="25">
        <v>-7.4243413890703241E-2</v>
      </c>
      <c r="E55" s="25">
        <v>-3.0861022528546445E-2</v>
      </c>
      <c r="F55" s="26">
        <v>-1.9718931645942218E-2</v>
      </c>
    </row>
    <row r="56" spans="1:6">
      <c r="A56" s="25">
        <v>-5.7573448480229914E-3</v>
      </c>
      <c r="B56" s="25">
        <v>-2.5624206517139179E-2</v>
      </c>
      <c r="C56" s="25">
        <v>1.3050737908003839E-2</v>
      </c>
      <c r="D56" s="25">
        <v>-3.0644548562745309E-2</v>
      </c>
      <c r="E56" s="25">
        <v>-2.5561347233360062E-2</v>
      </c>
      <c r="F56" s="26">
        <v>-2.997644707729653E-2</v>
      </c>
    </row>
    <row r="57" spans="1:6">
      <c r="A57" s="25">
        <v>2.1491891891891813E-2</v>
      </c>
      <c r="B57" s="25">
        <v>3.0063498060185063E-2</v>
      </c>
      <c r="C57" s="25">
        <v>-2.8771709562670014E-2</v>
      </c>
      <c r="D57" s="25">
        <v>-3.036876355748384E-2</v>
      </c>
      <c r="E57" s="25">
        <v>-4.0930418288909077E-3</v>
      </c>
      <c r="F57" s="26">
        <v>-2.1407164264287653E-4</v>
      </c>
    </row>
    <row r="58" spans="1:6">
      <c r="A58" s="25">
        <v>2.1234182700641752E-3</v>
      </c>
      <c r="B58" s="25">
        <v>-2.9090190877925571E-2</v>
      </c>
      <c r="C58" s="25">
        <v>-6.4655620465271747E-3</v>
      </c>
      <c r="D58" s="25">
        <v>-2.178003763462371E-2</v>
      </c>
      <c r="E58" s="25">
        <v>-1.388068517424681E-2</v>
      </c>
      <c r="F58" s="26">
        <v>-6.2169577728702539E-2</v>
      </c>
    </row>
    <row r="59" spans="1:6">
      <c r="A59" s="25">
        <v>1.046547269781499E-2</v>
      </c>
      <c r="B59" s="25">
        <v>-2.5716799076339371E-2</v>
      </c>
      <c r="C59" s="25">
        <v>-1.1991590313286031E-3</v>
      </c>
      <c r="D59" s="25">
        <v>-4.1068580542265474E-3</v>
      </c>
      <c r="E59" s="25">
        <v>-2.161100196463699E-3</v>
      </c>
      <c r="F59" s="26">
        <v>3.4332387346854072E-2</v>
      </c>
    </row>
    <row r="60" spans="1:6">
      <c r="A60" s="25">
        <v>2.256750100747756E-2</v>
      </c>
      <c r="B60" s="25">
        <v>2.161778851217095E-2</v>
      </c>
      <c r="C60" s="25">
        <v>-3.9194800225447286E-3</v>
      </c>
      <c r="D60" s="25">
        <v>-3.1735001158211651E-2</v>
      </c>
      <c r="E60" s="25">
        <v>-1.0016532140425902E-2</v>
      </c>
      <c r="F60" s="26">
        <v>4.4537632853734341E-2</v>
      </c>
    </row>
    <row r="61" spans="1:6">
      <c r="A61" s="25">
        <v>2.1217248159495217E-2</v>
      </c>
      <c r="B61" s="25">
        <v>-1.8291400939099E-3</v>
      </c>
      <c r="C61" s="25">
        <v>-2.7844668003898254E-3</v>
      </c>
      <c r="D61" s="25">
        <v>1.40547312375209E-2</v>
      </c>
      <c r="E61" s="25">
        <v>1.1608460403344767E-2</v>
      </c>
      <c r="F61" s="26">
        <v>2.9935214833569219E-2</v>
      </c>
    </row>
    <row r="62" spans="1:6">
      <c r="A62" s="25">
        <v>1.2875735260062148E-2</v>
      </c>
      <c r="B62" s="25">
        <v>-8.5257474794500111E-3</v>
      </c>
      <c r="C62" s="25">
        <v>7.0727160372019019E-3</v>
      </c>
      <c r="D62" s="25">
        <v>2.9835100592670239E-2</v>
      </c>
      <c r="E62" s="25">
        <v>8.532592519099139E-3</v>
      </c>
      <c r="F62" s="26">
        <v>-2.3274419957815238E-2</v>
      </c>
    </row>
    <row r="63" spans="1:6">
      <c r="A63" s="25">
        <v>-2.3104292777598079E-3</v>
      </c>
      <c r="B63" s="25">
        <v>-1.4962047322779037E-2</v>
      </c>
      <c r="C63" s="25">
        <v>-3.5599894442174961E-3</v>
      </c>
      <c r="D63" s="25">
        <v>-2.2928399034592992E-3</v>
      </c>
      <c r="E63" s="25">
        <v>1.0527371165029076E-2</v>
      </c>
      <c r="F63" s="26">
        <v>3.5033939128532093E-3</v>
      </c>
    </row>
    <row r="64" spans="1:6">
      <c r="A64" s="25">
        <v>2.0272500117863374E-2</v>
      </c>
      <c r="B64" s="25">
        <v>-4.3681513383852398E-3</v>
      </c>
      <c r="C64" s="25">
        <v>-1.5787409795323872E-2</v>
      </c>
      <c r="D64" s="25">
        <v>1.3287682399934747E-2</v>
      </c>
      <c r="E64" s="25">
        <v>1.2045773940975023E-3</v>
      </c>
      <c r="F64" s="26">
        <v>-2.0867576645465704E-2</v>
      </c>
    </row>
    <row r="65" spans="1:6">
      <c r="A65" s="25">
        <v>-6.7896609852032223E-3</v>
      </c>
      <c r="B65" s="25">
        <v>0.15390180228352143</v>
      </c>
      <c r="C65" s="25">
        <v>3.8815587603559409E-2</v>
      </c>
      <c r="D65" s="25">
        <v>-1.6042351808775165E-2</v>
      </c>
      <c r="E65" s="25">
        <v>-9.347653142402523E-3</v>
      </c>
      <c r="F65" s="26">
        <v>-2.0681785765225506E-3</v>
      </c>
    </row>
    <row r="66" spans="1:6">
      <c r="A66" s="25">
        <v>-3.1740104555639382E-3</v>
      </c>
      <c r="B66" s="25">
        <v>-3.4869962465815681E-3</v>
      </c>
      <c r="C66" s="25">
        <v>-4.4399968398598621E-3</v>
      </c>
      <c r="D66" s="25">
        <v>4.0121970791205262E-4</v>
      </c>
      <c r="E66" s="25">
        <v>-1.2180746561886028E-2</v>
      </c>
      <c r="F66" s="26">
        <v>3.9378535118494411E-3</v>
      </c>
    </row>
    <row r="67" spans="1:6">
      <c r="A67" s="25">
        <v>-6.1235850807199012E-3</v>
      </c>
      <c r="B67" s="25">
        <v>-6.5932868352222345E-3</v>
      </c>
      <c r="C67" s="25">
        <v>1.0597528130555508E-2</v>
      </c>
      <c r="D67" s="25">
        <v>-1.4705882352941105E-2</v>
      </c>
      <c r="E67" s="25">
        <v>6.2271424335276805E-3</v>
      </c>
      <c r="F67" s="26">
        <v>3.6896807720861166E-2</v>
      </c>
    </row>
    <row r="68" spans="1:6">
      <c r="A68" s="25">
        <v>3.7718277066355805E-3</v>
      </c>
      <c r="B68" s="25">
        <v>-5.3039512501064662E-3</v>
      </c>
      <c r="C68" s="25">
        <v>-1.3448362010768933E-3</v>
      </c>
      <c r="D68" s="25">
        <v>5.0858232676413411E-3</v>
      </c>
      <c r="E68" s="25">
        <v>1.4337276919992047E-2</v>
      </c>
      <c r="F68" s="26">
        <v>3.076216712580335E-2</v>
      </c>
    </row>
    <row r="69" spans="1:6">
      <c r="A69" s="25">
        <v>3.8799551234107062E-3</v>
      </c>
      <c r="B69" s="25">
        <v>-4.7393730156283717E-3</v>
      </c>
      <c r="C69" s="25">
        <v>3.8311927388758951E-3</v>
      </c>
      <c r="D69" s="25">
        <v>1.7546696854532258E-2</v>
      </c>
      <c r="E69" s="25">
        <v>-2.2008803521409016E-3</v>
      </c>
      <c r="F69" s="26">
        <v>1.373050965790094E-2</v>
      </c>
    </row>
    <row r="70" spans="1:6">
      <c r="A70" s="25">
        <v>-8.206221892531073E-3</v>
      </c>
      <c r="B70" s="25">
        <v>-1.9305464754067118E-3</v>
      </c>
      <c r="C70" s="25">
        <v>-2.9682824036201306E-2</v>
      </c>
      <c r="D70" s="25">
        <v>-5.0846156798035225E-2</v>
      </c>
      <c r="E70" s="25">
        <v>-1.1960067213600892E-2</v>
      </c>
      <c r="F70" s="26">
        <v>-1.1350563693534703E-2</v>
      </c>
    </row>
    <row r="71" spans="1:6">
      <c r="A71" s="25">
        <v>-1.2182276162124988E-2</v>
      </c>
      <c r="B71" s="25">
        <v>2.8694183257098904E-3</v>
      </c>
      <c r="C71" s="25">
        <v>1.9611776568282242E-2</v>
      </c>
      <c r="D71" s="25">
        <v>2.1641118124436538E-2</v>
      </c>
      <c r="E71" s="25">
        <v>5.4661101172729081E-3</v>
      </c>
      <c r="F71" s="26">
        <v>-1.21969696969698E-2</v>
      </c>
    </row>
    <row r="72" spans="1:6">
      <c r="A72" s="25">
        <v>2.2491508308088181E-3</v>
      </c>
      <c r="B72" s="25">
        <v>-7.1908838890506694E-3</v>
      </c>
      <c r="C72" s="25">
        <v>7.2743128486272533E-3</v>
      </c>
      <c r="D72" s="25">
        <v>-1.8092928359702814E-2</v>
      </c>
      <c r="E72" s="25">
        <v>-8.7676091025514508E-3</v>
      </c>
      <c r="F72" s="26">
        <v>-1.6759776536312849E-2</v>
      </c>
    </row>
    <row r="73" spans="1:6">
      <c r="A73" s="25">
        <v>-2.0721895086977981E-2</v>
      </c>
      <c r="B73" s="25">
        <v>-1.1117001135933304E-2</v>
      </c>
      <c r="C73" s="25">
        <v>1.2736006548407595E-2</v>
      </c>
      <c r="D73" s="25">
        <v>8.110835144364963E-3</v>
      </c>
      <c r="E73" s="25">
        <v>-2.3284903300298213E-2</v>
      </c>
      <c r="F73" s="26">
        <v>-2.2498907820008761E-2</v>
      </c>
    </row>
    <row r="74" spans="1:6">
      <c r="A74" s="25">
        <v>8.0975302532715245E-4</v>
      </c>
      <c r="B74" s="25">
        <v>-3.3134826287465101E-3</v>
      </c>
      <c r="C74" s="25">
        <v>-1.7256672848963012E-3</v>
      </c>
      <c r="D74" s="25">
        <v>3.2247726635420422E-2</v>
      </c>
      <c r="E74" s="25">
        <v>2.2329333071020984E-2</v>
      </c>
      <c r="F74" s="26">
        <v>-1.4141124111693337E-2</v>
      </c>
    </row>
    <row r="75" spans="1:6">
      <c r="A75" s="25">
        <v>3.1500315003162314E-4</v>
      </c>
      <c r="B75" s="25">
        <v>-3.9020209310717882E-3</v>
      </c>
      <c r="C75" s="25">
        <v>1.139632120661805E-2</v>
      </c>
      <c r="D75" s="25">
        <v>-1.75950733794523E-3</v>
      </c>
      <c r="E75" s="25">
        <v>-1.3752455795677577E-3</v>
      </c>
      <c r="F75" s="26">
        <v>3.1391130524913075E-2</v>
      </c>
    </row>
    <row r="76" spans="1:6">
      <c r="A76" s="25">
        <v>-2.1315951730820088E-2</v>
      </c>
      <c r="B76" s="25">
        <v>4.8957388939256021E-3</v>
      </c>
      <c r="C76" s="25">
        <v>2.2203819390409281E-2</v>
      </c>
      <c r="D76" s="25">
        <v>1.1650956753913883E-2</v>
      </c>
      <c r="E76" s="25">
        <v>-1.8132716049382672E-2</v>
      </c>
      <c r="F76" s="26">
        <v>-2.694330379655651E-2</v>
      </c>
    </row>
    <row r="77" spans="1:6">
      <c r="A77" s="25">
        <v>1.2788287692375936E-3</v>
      </c>
      <c r="B77" s="25">
        <v>-1.6669055143648309E-3</v>
      </c>
      <c r="C77" s="25">
        <v>-1.3709198483661128E-3</v>
      </c>
      <c r="D77" s="25">
        <v>-3.4451779227373858E-2</v>
      </c>
      <c r="E77" s="25">
        <v>1.2598886610020487E-2</v>
      </c>
      <c r="F77" s="26">
        <v>-2.5484414490311677E-2</v>
      </c>
    </row>
    <row r="78" spans="1:6">
      <c r="A78" s="25">
        <v>5.3198563638781754E-3</v>
      </c>
      <c r="B78" s="25">
        <v>-1.5438374527435121E-3</v>
      </c>
      <c r="C78" s="25">
        <v>1.0085663669185624E-2</v>
      </c>
      <c r="D78" s="25">
        <v>7.4270971777034287E-4</v>
      </c>
      <c r="E78" s="25">
        <v>7.4781068582111809E-3</v>
      </c>
      <c r="F78" s="26">
        <v>-1.8061491796498033E-2</v>
      </c>
    </row>
    <row r="79" spans="1:6">
      <c r="A79" s="25">
        <v>-8.7093771500263165E-2</v>
      </c>
      <c r="B79" s="25">
        <v>-1.0081251880830302E-3</v>
      </c>
      <c r="C79" s="25">
        <v>1.9266523993281583E-3</v>
      </c>
      <c r="D79" s="25">
        <v>-2.2953825000954955E-2</v>
      </c>
      <c r="E79" s="25">
        <v>-8.874585527599118E-3</v>
      </c>
      <c r="F79" s="26">
        <v>-5.5119195259738251E-4</v>
      </c>
    </row>
    <row r="80" spans="1:6">
      <c r="A80" s="25">
        <v>-7.4713797951395499E-3</v>
      </c>
      <c r="B80" s="25">
        <v>3.3061095092162913E-3</v>
      </c>
      <c r="C80" s="25">
        <v>9.4864932296039213E-3</v>
      </c>
      <c r="D80" s="25">
        <v>4.6813245846284764E-3</v>
      </c>
      <c r="E80" s="25">
        <v>2.100965846858522E-2</v>
      </c>
      <c r="F80" s="26">
        <v>3.4792528161984852E-2</v>
      </c>
    </row>
    <row r="81" spans="1:6">
      <c r="A81" s="25">
        <v>1.3227513227513227E-2</v>
      </c>
      <c r="B81" s="25">
        <v>-6.2259961593855015E-3</v>
      </c>
      <c r="C81" s="25">
        <v>5.9206698684675435E-3</v>
      </c>
      <c r="D81" s="25">
        <v>4.5871559633027872E-3</v>
      </c>
      <c r="E81" s="25">
        <v>1.1277816936864296E-2</v>
      </c>
      <c r="F81" s="26">
        <v>1.1757916756834708E-2</v>
      </c>
    </row>
    <row r="82" spans="1:6">
      <c r="A82" s="25">
        <v>-1.5847860538827628E-3</v>
      </c>
      <c r="B82" s="25">
        <v>1.3363333688067341E-2</v>
      </c>
      <c r="C82" s="25">
        <v>5.4655464112636862E-3</v>
      </c>
      <c r="D82" s="25">
        <v>9.5341868700626539E-3</v>
      </c>
      <c r="E82" s="25">
        <v>-2.5110486139011652E-3</v>
      </c>
      <c r="F82" s="26">
        <v>2.7486437613019562E-3</v>
      </c>
    </row>
    <row r="83" spans="1:6">
      <c r="A83" s="25">
        <v>2.6891578046693188E-3</v>
      </c>
      <c r="B83" s="25">
        <v>-2.0030839596850463E-2</v>
      </c>
      <c r="C83" s="25">
        <v>8.6675008897095203E-4</v>
      </c>
      <c r="D83" s="25">
        <v>2.9527243589743516E-2</v>
      </c>
      <c r="E83" s="25">
        <v>3.600416233090533E-2</v>
      </c>
      <c r="F83" s="26">
        <v>2.150140387173043E-2</v>
      </c>
    </row>
    <row r="84" spans="1:6">
      <c r="A84" s="25">
        <v>-1.4060177559956612E-2</v>
      </c>
      <c r="B84" s="25">
        <v>2.2538923250357976E-2</v>
      </c>
      <c r="C84" s="25">
        <v>2.8609750341072391E-3</v>
      </c>
      <c r="D84" s="25">
        <v>5.7216536384881202E-3</v>
      </c>
      <c r="E84" s="25">
        <v>1.563314226159458E-3</v>
      </c>
      <c r="F84" s="26">
        <v>-1.1539585159216947E-2</v>
      </c>
    </row>
    <row r="85" spans="1:6">
      <c r="A85" s="25">
        <v>-5.2747252747252019E-3</v>
      </c>
      <c r="B85" s="25">
        <v>9.6206347619450724E-3</v>
      </c>
      <c r="C85" s="25">
        <v>2.863394161216145E-3</v>
      </c>
      <c r="D85" s="25">
        <v>1.0011395083835408E-2</v>
      </c>
      <c r="E85" s="25">
        <v>1.641949152542373E-2</v>
      </c>
      <c r="F85" s="26">
        <v>6.6166740185265192E-3</v>
      </c>
    </row>
    <row r="86" spans="1:6">
      <c r="A86" s="25">
        <v>-8.2038681039948557E-3</v>
      </c>
      <c r="B86" s="25">
        <v>1.7101786443366824E-3</v>
      </c>
      <c r="C86" s="25">
        <v>-1.3663249893346361E-3</v>
      </c>
      <c r="D86" s="25">
        <v>7.3381707867009533E-3</v>
      </c>
      <c r="E86" s="25">
        <v>-3.1769564756958015E-4</v>
      </c>
      <c r="F86" s="26">
        <v>-4.1775272983444724E-2</v>
      </c>
    </row>
    <row r="87" spans="1:6">
      <c r="A87" s="25">
        <v>1.7337311507136521E-2</v>
      </c>
      <c r="B87" s="25">
        <v>4.9157738279556572E-3</v>
      </c>
      <c r="C87" s="25">
        <v>6.5397403833321191E-3</v>
      </c>
      <c r="D87" s="25">
        <v>1.0522391151249054E-2</v>
      </c>
      <c r="E87" s="25">
        <v>-6.7318817713264865E-3</v>
      </c>
      <c r="F87" s="26">
        <v>-3.2181086793481958E-2</v>
      </c>
    </row>
    <row r="88" spans="1:6">
      <c r="A88" s="25">
        <v>1.7559694756707853E-2</v>
      </c>
      <c r="B88" s="25">
        <v>2.5553069078471861E-4</v>
      </c>
      <c r="C88" s="25">
        <v>5.7480607552590787E-4</v>
      </c>
      <c r="D88" s="25">
        <v>-1.7061649971496087E-2</v>
      </c>
      <c r="E88" s="25">
        <v>1.9626769626769701E-2</v>
      </c>
      <c r="F88" s="26">
        <v>5.346493933785737E-3</v>
      </c>
    </row>
    <row r="89" spans="1:6">
      <c r="A89" s="25">
        <v>2.2142078335989343E-2</v>
      </c>
      <c r="B89" s="25">
        <v>2.1725199174030912E-2</v>
      </c>
      <c r="C89" s="25">
        <v>3.4115881116781793E-2</v>
      </c>
      <c r="D89" s="25">
        <v>2.8047555257870057E-2</v>
      </c>
      <c r="E89" s="25">
        <v>9.4186424163688765E-3</v>
      </c>
      <c r="F89" s="26">
        <v>-7.618529351744811E-3</v>
      </c>
    </row>
    <row r="90" spans="1:6">
      <c r="A90" s="25">
        <v>1.1538135233732E-2</v>
      </c>
      <c r="B90" s="25">
        <v>2.2837386705152757E-3</v>
      </c>
      <c r="C90" s="25">
        <v>1.4299460420701286E-2</v>
      </c>
      <c r="D90" s="25">
        <v>1.2632471386180661E-2</v>
      </c>
      <c r="E90" s="25">
        <v>1.8187830687830687E-2</v>
      </c>
      <c r="F90" s="26">
        <v>4.8947556189796536E-2</v>
      </c>
    </row>
    <row r="91" spans="1:6">
      <c r="A91" s="25">
        <v>-5.5682105796000247E-3</v>
      </c>
      <c r="B91" s="25">
        <v>-2.943055266945269E-2</v>
      </c>
      <c r="C91" s="25">
        <v>1.1532064313435638E-2</v>
      </c>
      <c r="D91" s="25">
        <v>2.6321514030889712E-2</v>
      </c>
      <c r="E91" s="25">
        <v>5.2077562326870311E-3</v>
      </c>
      <c r="F91" s="26">
        <v>-1.2889139315396423E-2</v>
      </c>
    </row>
    <row r="92" spans="1:6">
      <c r="A92" s="25">
        <v>3.0889011128505594E-3</v>
      </c>
      <c r="B92" s="25">
        <v>1.2625377007785651E-2</v>
      </c>
      <c r="C92" s="25">
        <v>1.3726175904878429E-2</v>
      </c>
      <c r="D92" s="25">
        <v>1.2555066079295154E-2</v>
      </c>
      <c r="E92" s="25">
        <v>-2.7624309392265192E-3</v>
      </c>
      <c r="F92" s="26">
        <v>-3.2570182611065694E-2</v>
      </c>
    </row>
    <row r="93" spans="1:6">
      <c r="A93" s="25">
        <v>5.5739937026637581E-3</v>
      </c>
      <c r="B93" s="25">
        <v>-5.2753969835891333E-2</v>
      </c>
      <c r="C93" s="25">
        <v>-8.3477830071835065E-3</v>
      </c>
      <c r="D93" s="25">
        <v>3.6009310392040569E-2</v>
      </c>
      <c r="E93" s="25">
        <v>-6.893004115226338E-2</v>
      </c>
      <c r="F93" s="26">
        <v>3.349969234976281E-3</v>
      </c>
    </row>
    <row r="94" spans="1:6">
      <c r="A94" s="25">
        <v>-7.4330602246812918E-3</v>
      </c>
      <c r="B94" s="25">
        <v>-4.9897245621541221E-2</v>
      </c>
      <c r="C94" s="25">
        <v>2.2094784141406844E-3</v>
      </c>
      <c r="D94" s="25">
        <v>2.096826802106146E-2</v>
      </c>
      <c r="E94" s="25">
        <v>-1.1592434411226335E-2</v>
      </c>
      <c r="F94" s="26">
        <v>-1.3621956976195171E-2</v>
      </c>
    </row>
    <row r="95" spans="1:6">
      <c r="A95" s="25">
        <v>6.5465056963101894E-3</v>
      </c>
      <c r="B95" s="25">
        <v>-3.7260873381907145E-2</v>
      </c>
      <c r="C95" s="25">
        <v>-5.3153069728678806E-3</v>
      </c>
      <c r="D95" s="25">
        <v>-4.5965770171149188E-2</v>
      </c>
      <c r="E95" s="25">
        <v>-2.2562369545770844E-2</v>
      </c>
      <c r="F95" s="26">
        <v>2.0859149111937224E-2</v>
      </c>
    </row>
    <row r="96" spans="1:6">
      <c r="A96" s="25">
        <v>-3.6572879551132302E-2</v>
      </c>
      <c r="B96" s="25">
        <v>2.0409428852951564E-2</v>
      </c>
      <c r="C96" s="25">
        <v>4.0102145805700285E-3</v>
      </c>
      <c r="D96" s="25">
        <v>1.8656885386949151E-2</v>
      </c>
      <c r="E96" s="25">
        <v>-2.8204385202356741E-2</v>
      </c>
      <c r="F96" s="26">
        <v>-1.6053647632595033E-2</v>
      </c>
    </row>
    <row r="97" spans="1:6">
      <c r="A97" s="25">
        <v>-2.4139722632988327E-2</v>
      </c>
      <c r="B97" s="25">
        <v>-6.8908414080035528E-3</v>
      </c>
      <c r="C97" s="25">
        <v>1.4219618295657353E-2</v>
      </c>
      <c r="D97" s="25">
        <v>-1.783490482120615E-2</v>
      </c>
      <c r="E97" s="25">
        <v>-1.1269219749785078E-2</v>
      </c>
      <c r="F97" s="26">
        <v>-8.3960236432025787E-3</v>
      </c>
    </row>
    <row r="98" spans="1:6">
      <c r="A98" s="25">
        <v>-5.9197457290425474E-3</v>
      </c>
      <c r="B98" s="25">
        <v>-2.8228300117701038E-2</v>
      </c>
      <c r="C98" s="25">
        <v>1.2790719883871191E-2</v>
      </c>
      <c r="D98" s="25">
        <v>-2.704573975507378E-2</v>
      </c>
      <c r="E98" s="25">
        <v>-3.1897189349112426E-2</v>
      </c>
      <c r="F98" s="26">
        <v>2.2457248815328491E-2</v>
      </c>
    </row>
    <row r="99" spans="1:6">
      <c r="A99" s="25">
        <v>-1.3057287377955605E-2</v>
      </c>
      <c r="B99" s="25">
        <v>-1.2178539757611564E-2</v>
      </c>
      <c r="C99" s="25">
        <v>3.0461715307491363E-3</v>
      </c>
      <c r="D99" s="25">
        <v>-4.1637291087795E-2</v>
      </c>
      <c r="E99" s="25">
        <v>2.4533484891541026E-2</v>
      </c>
      <c r="F99" s="26">
        <v>4.0740476020298885E-2</v>
      </c>
    </row>
    <row r="100" spans="1:6">
      <c r="A100" s="25">
        <v>7.0286278381047115E-3</v>
      </c>
      <c r="B100" s="25">
        <v>1.6173604250660778E-2</v>
      </c>
      <c r="C100" s="25">
        <v>3.7500828198502617E-2</v>
      </c>
      <c r="D100" s="25">
        <v>-1.0586352632226716E-2</v>
      </c>
      <c r="E100" s="25">
        <v>2.9850746268656851E-2</v>
      </c>
      <c r="F100" s="26">
        <v>2.8371922087467732E-2</v>
      </c>
    </row>
    <row r="101" spans="1:6">
      <c r="A101" s="25">
        <v>-4.6378178673899227E-3</v>
      </c>
      <c r="B101" s="25">
        <v>1.8928238646797647E-2</v>
      </c>
      <c r="C101" s="25">
        <v>4.3084877208099956E-4</v>
      </c>
      <c r="D101" s="25">
        <v>3.022489009130876E-2</v>
      </c>
      <c r="E101" s="25">
        <v>-2.9180040852057197E-3</v>
      </c>
      <c r="F101" s="26">
        <v>4.8005908419498202E-3</v>
      </c>
    </row>
    <row r="102" spans="1:6">
      <c r="A102" s="25">
        <v>-2.3135440357617584E-3</v>
      </c>
      <c r="B102" s="25">
        <v>-2.6420516623736085E-2</v>
      </c>
      <c r="C102" s="25">
        <v>-1.2512081772081266E-3</v>
      </c>
      <c r="D102" s="25">
        <v>-5.4969638862256281E-2</v>
      </c>
      <c r="E102" s="25">
        <v>-1.7770134709085828E-2</v>
      </c>
      <c r="F102" s="26">
        <v>1.9885507683037172E-2</v>
      </c>
    </row>
    <row r="103" spans="1:6">
      <c r="A103" s="25">
        <v>-6.2736235046566505E-3</v>
      </c>
      <c r="B103" s="25">
        <v>-9.6984878490209477E-3</v>
      </c>
      <c r="C103" s="25">
        <v>-9.3650398079774058E-3</v>
      </c>
      <c r="D103" s="25">
        <v>6.1757719714964333E-2</v>
      </c>
      <c r="E103" s="25">
        <v>8.0901473562555049E-3</v>
      </c>
      <c r="F103" s="26">
        <v>-4.7222620927228454E-2</v>
      </c>
    </row>
    <row r="104" spans="1:6">
      <c r="A104" s="25">
        <v>-1.2999500019229926E-2</v>
      </c>
      <c r="B104" s="25">
        <v>3.8942104617732322E-2</v>
      </c>
      <c r="C104" s="25">
        <v>-1.5279499896672773E-2</v>
      </c>
      <c r="D104" s="25">
        <v>-1.5286943446662732E-2</v>
      </c>
      <c r="E104" s="25">
        <v>-1.536273115220488E-2</v>
      </c>
      <c r="F104" s="26">
        <v>-1.3522123893805285E-2</v>
      </c>
    </row>
    <row r="105" spans="1:6">
      <c r="A105" s="25">
        <v>1.7014785261675665E-2</v>
      </c>
      <c r="B105" s="25">
        <v>-1.2261580381466434E-4</v>
      </c>
      <c r="C105" s="25">
        <v>-1.4638078349186348E-3</v>
      </c>
      <c r="D105" s="25">
        <v>4.4470548749789857E-3</v>
      </c>
      <c r="E105" s="25">
        <v>-5.0009435742592511E-3</v>
      </c>
      <c r="F105" s="26">
        <v>5.1949900370053355E-3</v>
      </c>
    </row>
    <row r="106" spans="1:6">
      <c r="A106" s="25">
        <v>-1.4151852851579173E-2</v>
      </c>
      <c r="B106" s="25">
        <v>3.9542261500113272E-2</v>
      </c>
      <c r="C106" s="25">
        <v>6.2813499711239116E-3</v>
      </c>
      <c r="D106" s="25">
        <v>2.3179945054945056E-2</v>
      </c>
      <c r="E106" s="25">
        <v>4.2641902776461675E-3</v>
      </c>
      <c r="F106" s="26">
        <v>-7.2064434082236952E-3</v>
      </c>
    </row>
    <row r="107" spans="1:6">
      <c r="A107" s="25">
        <v>4.1819941916748041E-3</v>
      </c>
      <c r="B107" s="25">
        <v>-1.1397048528464569E-2</v>
      </c>
      <c r="C107" s="25">
        <v>-4.4574507257892594E-3</v>
      </c>
      <c r="D107" s="25">
        <v>-1.3341239252890602E-2</v>
      </c>
      <c r="E107" s="25">
        <v>2.5650769523086125E-3</v>
      </c>
      <c r="F107" s="26">
        <v>8.0478598390427702E-3</v>
      </c>
    </row>
    <row r="108" spans="1:6">
      <c r="A108" s="25">
        <v>2.8802485857700656E-2</v>
      </c>
      <c r="B108" s="25">
        <v>-1.8238356451556804E-3</v>
      </c>
      <c r="C108" s="25">
        <v>5.2993551152415146E-3</v>
      </c>
      <c r="D108" s="25">
        <v>-6.2710437710438091E-3</v>
      </c>
      <c r="E108" s="25">
        <v>-1.8097014925373221E-2</v>
      </c>
      <c r="F108" s="26">
        <v>6.0905703640011053E-3</v>
      </c>
    </row>
    <row r="109" spans="1:6">
      <c r="A109" s="25">
        <v>-2.8823461136688981E-2</v>
      </c>
      <c r="B109" s="25">
        <v>-9.4140449243761467E-3</v>
      </c>
      <c r="C109" s="25">
        <v>1.8689301119373364E-2</v>
      </c>
      <c r="D109" s="25">
        <v>-1.0741943542343318E-2</v>
      </c>
      <c r="E109" s="25">
        <v>-1.143489487274077E-2</v>
      </c>
      <c r="F109" s="26">
        <v>-2.8066021310676238E-2</v>
      </c>
    </row>
    <row r="110" spans="1:6">
      <c r="A110" s="25">
        <v>-5.578639581409665E-3</v>
      </c>
      <c r="B110" s="25">
        <v>4.5406502934386053E-3</v>
      </c>
      <c r="C110" s="25">
        <v>0.11140031616484691</v>
      </c>
      <c r="D110" s="25">
        <v>-9.0357717539297916E-3</v>
      </c>
      <c r="E110" s="25">
        <v>1.2133656897517267E-2</v>
      </c>
      <c r="F110" s="26">
        <v>-8.3501496068474391E-4</v>
      </c>
    </row>
    <row r="111" spans="1:6">
      <c r="A111" s="25">
        <v>-1.0582413399314877E-2</v>
      </c>
      <c r="B111" s="25">
        <v>-2.7265409928099307E-2</v>
      </c>
      <c r="C111" s="25">
        <v>-3.6628694919600014E-3</v>
      </c>
      <c r="D111" s="25">
        <v>-3.8137947456147452E-2</v>
      </c>
      <c r="E111" s="25">
        <v>-2.0479063814225512E-2</v>
      </c>
      <c r="F111" s="26">
        <v>4.1376811594202957E-2</v>
      </c>
    </row>
    <row r="112" spans="1:6">
      <c r="A112" s="25">
        <v>-1.6951689555813412E-2</v>
      </c>
      <c r="B112" s="25">
        <v>-1.7040543595335366E-2</v>
      </c>
      <c r="C112" s="25">
        <v>-5.3415899256629262E-2</v>
      </c>
      <c r="D112" s="25">
        <v>-1.3583871599138703E-2</v>
      </c>
      <c r="E112" s="25">
        <v>-2.8596802841918335E-2</v>
      </c>
      <c r="F112" s="26">
        <v>7.8142116409843938E-3</v>
      </c>
    </row>
    <row r="113" spans="1:6">
      <c r="A113" s="25">
        <v>-8.2758108810212002E-3</v>
      </c>
      <c r="B113" s="25">
        <v>-1.4047945250378519E-2</v>
      </c>
      <c r="C113" s="25">
        <v>-6.4556133521651267E-3</v>
      </c>
      <c r="D113" s="25">
        <v>-4.1712147200997267E-3</v>
      </c>
      <c r="E113" s="25">
        <v>-1.2713722051731697E-2</v>
      </c>
      <c r="F113" s="26">
        <v>8.9154140878279393E-3</v>
      </c>
    </row>
    <row r="114" spans="1:6">
      <c r="A114" s="25">
        <v>-1.0066127847171232E-2</v>
      </c>
      <c r="B114" s="25">
        <v>-2.9151279453577153E-3</v>
      </c>
      <c r="C114" s="25">
        <v>7.3567685741055631E-3</v>
      </c>
      <c r="D114" s="25">
        <v>-3.0353430353430421E-2</v>
      </c>
      <c r="E114" s="25">
        <v>-2.7375063960429737E-2</v>
      </c>
      <c r="F114" s="26">
        <v>3.1306990881459003E-2</v>
      </c>
    </row>
    <row r="115" spans="1:6">
      <c r="A115" s="25">
        <v>1.3818019293083506E-2</v>
      </c>
      <c r="B115" s="25">
        <v>4.4380543464702608E-3</v>
      </c>
      <c r="C115" s="25">
        <v>-3.5569180516603169E-2</v>
      </c>
      <c r="D115" s="25">
        <v>-4.1562759767245109E-4</v>
      </c>
      <c r="E115" s="25">
        <v>6.8271036012967619E-4</v>
      </c>
      <c r="F115" s="26">
        <v>-4.686028825957847E-2</v>
      </c>
    </row>
    <row r="116" spans="1:6">
      <c r="A116" s="25">
        <v>2.2741124485753571E-2</v>
      </c>
      <c r="B116" s="25">
        <v>-1.0587921974160273E-2</v>
      </c>
      <c r="C116" s="25">
        <v>5.0927732404030422E-3</v>
      </c>
      <c r="D116" s="25">
        <v>3.5891815726642851E-2</v>
      </c>
      <c r="E116" s="25">
        <v>-5.7695571016459822E-3</v>
      </c>
      <c r="F116" s="26">
        <v>2.4258160237388585E-2</v>
      </c>
    </row>
    <row r="117" spans="1:6">
      <c r="A117" s="25">
        <v>-2.3561602188949884E-3</v>
      </c>
      <c r="B117" s="25">
        <v>-1.1779130077543266E-2</v>
      </c>
      <c r="C117" s="25">
        <v>6.9777524862477298E-3</v>
      </c>
      <c r="D117" s="25">
        <v>-1.336165282873138E-2</v>
      </c>
      <c r="E117" s="25">
        <v>-1.7997000499916795E-2</v>
      </c>
      <c r="F117" s="26">
        <v>-7.4178473406949811E-5</v>
      </c>
    </row>
    <row r="118" spans="1:6">
      <c r="A118" s="25">
        <v>-7.9741788494395636E-4</v>
      </c>
      <c r="B118" s="25">
        <v>6.3955967285553705E-3</v>
      </c>
      <c r="C118" s="25">
        <v>1.3609833138776402E-2</v>
      </c>
      <c r="D118" s="25">
        <v>-6.7507959034942694E-3</v>
      </c>
      <c r="E118" s="25">
        <v>-4.6442196052412579E-3</v>
      </c>
      <c r="F118" s="26">
        <v>1.6283452695062168E-2</v>
      </c>
    </row>
    <row r="119" spans="1:6">
      <c r="A119" s="25">
        <v>-1.2486875656217257E-2</v>
      </c>
      <c r="B119" s="25">
        <v>-1.7885580504146209E-2</v>
      </c>
      <c r="C119" s="25">
        <v>-1.2992470195937614E-2</v>
      </c>
      <c r="D119" s="25">
        <v>-3.160983582200428E-2</v>
      </c>
      <c r="E119" s="25">
        <v>8.9532256714919649E-3</v>
      </c>
      <c r="F119" s="26">
        <v>-1.8060049665135126E-3</v>
      </c>
    </row>
    <row r="120" spans="1:6">
      <c r="A120" s="25">
        <v>2.2114905522977377E-2</v>
      </c>
      <c r="B120" s="25">
        <v>1.2338463119492236E-2</v>
      </c>
      <c r="C120" s="25">
        <v>7.5662904007812873E-3</v>
      </c>
      <c r="D120" s="25">
        <v>1.8233915082051264E-3</v>
      </c>
      <c r="E120" s="25">
        <v>-8.955966498051398E-3</v>
      </c>
      <c r="F120" s="26">
        <v>4.0479173191355994E-2</v>
      </c>
    </row>
    <row r="121" spans="1:6">
      <c r="A121" s="25">
        <v>-2.0865388223815031E-2</v>
      </c>
      <c r="B121" s="25">
        <v>-7.7687351428516573E-3</v>
      </c>
      <c r="C121" s="25">
        <v>1.5801777179680999E-2</v>
      </c>
      <c r="D121" s="25">
        <v>-2.545784224841335E-2</v>
      </c>
      <c r="E121" s="25">
        <v>1.1406525203388524E-2</v>
      </c>
      <c r="F121" s="26">
        <v>2.2414345180915764E-2</v>
      </c>
    </row>
    <row r="122" spans="1:6">
      <c r="A122" s="25">
        <v>-8.1146473106272782E-3</v>
      </c>
      <c r="B122" s="25">
        <v>5.4977342100662976E-2</v>
      </c>
      <c r="C122" s="25">
        <v>1.1578053623930783E-2</v>
      </c>
      <c r="D122" s="25">
        <v>6.3868613138686131E-3</v>
      </c>
      <c r="E122" s="25">
        <v>-3.2930489090761725E-2</v>
      </c>
      <c r="F122" s="26">
        <v>1.6849816849816911E-2</v>
      </c>
    </row>
    <row r="123" spans="1:6">
      <c r="A123" s="25">
        <v>-3.8193414417087589E-3</v>
      </c>
      <c r="B123" s="25">
        <v>-2.61956984319246E-2</v>
      </c>
      <c r="C123" s="25">
        <v>9.2632592791938619E-3</v>
      </c>
      <c r="D123" s="25">
        <v>2.190260641015949E-4</v>
      </c>
      <c r="E123" s="25">
        <v>1.1319826101222364E-2</v>
      </c>
      <c r="F123" s="26">
        <v>3.3655868742111905E-2</v>
      </c>
    </row>
    <row r="124" spans="1:6">
      <c r="A124" s="25">
        <v>-2.8705204394021185E-2</v>
      </c>
      <c r="B124" s="25">
        <v>-1.2638179584976405E-2</v>
      </c>
      <c r="C124" s="25">
        <v>-9.3033698405237085E-3</v>
      </c>
      <c r="D124" s="25">
        <v>-4.293749781644135E-2</v>
      </c>
      <c r="E124" s="25">
        <v>-9.345034942304568E-3</v>
      </c>
      <c r="F124" s="26">
        <v>1.5811965811965763E-2</v>
      </c>
    </row>
    <row r="125" spans="1:6">
      <c r="A125" s="25">
        <v>-3.6959954069183945E-3</v>
      </c>
      <c r="B125" s="25">
        <v>-2.9554394263524089E-2</v>
      </c>
      <c r="C125" s="25">
        <v>1.5677443721540094E-2</v>
      </c>
      <c r="D125" s="25">
        <v>9.9502487562190024E-3</v>
      </c>
      <c r="E125" s="25">
        <v>-5.012936610608058E-3</v>
      </c>
      <c r="F125" s="26">
        <v>-3.6561264822134371E-2</v>
      </c>
    </row>
    <row r="126" spans="1:6">
      <c r="A126" s="25">
        <v>3.4205883411946854E-3</v>
      </c>
      <c r="B126" s="25">
        <v>0.10916972834558002</v>
      </c>
      <c r="C126" s="25">
        <v>1.1693714087969525E-2</v>
      </c>
      <c r="D126" s="25">
        <v>1.8027571580063306E-3</v>
      </c>
      <c r="E126" s="25">
        <v>1.2442698100851381E-2</v>
      </c>
      <c r="F126" s="26">
        <v>3.2948929159795751E-4</v>
      </c>
    </row>
    <row r="127" spans="1:6">
      <c r="A127" s="25">
        <v>-2.3658862405962079E-2</v>
      </c>
      <c r="B127" s="25">
        <v>-2.1122107715256726E-2</v>
      </c>
      <c r="C127" s="25">
        <v>8.8882423537113668E-3</v>
      </c>
      <c r="D127" s="25">
        <v>5.1868377021751254E-2</v>
      </c>
      <c r="E127" s="25">
        <v>8.8364026756956125E-3</v>
      </c>
      <c r="F127" s="26">
        <v>-2.1283456949371175E-2</v>
      </c>
    </row>
    <row r="128" spans="1:6">
      <c r="A128" s="25">
        <v>-5.0715260046867898E-3</v>
      </c>
      <c r="B128" s="25">
        <v>-2.4997177523791908E-2</v>
      </c>
      <c r="C128" s="25">
        <v>-4.7127468581687872E-3</v>
      </c>
      <c r="D128" s="25">
        <v>8.2474226804123713E-3</v>
      </c>
      <c r="E128" s="25">
        <v>2.4781100280867497E-4</v>
      </c>
      <c r="F128" s="26">
        <v>4.29115051412842E-3</v>
      </c>
    </row>
    <row r="129" spans="1:6">
      <c r="A129" s="25">
        <v>-1.1615445777301453E-2</v>
      </c>
      <c r="B129" s="25">
        <v>-4.4349950813949754E-2</v>
      </c>
      <c r="C129" s="25">
        <v>-1.3032294941411806E-2</v>
      </c>
      <c r="D129" s="25">
        <v>5.6929573216709054E-3</v>
      </c>
      <c r="E129" s="25">
        <v>-1.0705238211980172E-2</v>
      </c>
      <c r="F129" s="26">
        <v>2.1841648051625716E-2</v>
      </c>
    </row>
    <row r="130" spans="1:6">
      <c r="A130" s="25">
        <v>-2.0354653970882809E-3</v>
      </c>
      <c r="B130" s="25">
        <v>0.16747677123931173</v>
      </c>
      <c r="C130" s="25">
        <v>1.6368204726010461E-2</v>
      </c>
      <c r="D130" s="25">
        <v>-5.5488902219555068E-3</v>
      </c>
      <c r="E130" s="25">
        <v>-8.4271939064904499E-3</v>
      </c>
      <c r="F130" s="26">
        <v>3.9652503010493716E-2</v>
      </c>
    </row>
    <row r="131" spans="1:6">
      <c r="A131" s="25">
        <v>-5.0116710146917171E-3</v>
      </c>
      <c r="B131" s="25">
        <v>-1.8165416596948831E-2</v>
      </c>
      <c r="C131" s="25">
        <v>-8.6460725521392261E-3</v>
      </c>
      <c r="D131" s="25">
        <v>8.6307178505749826E-4</v>
      </c>
      <c r="E131" s="25">
        <v>4.6401823510255763E-3</v>
      </c>
      <c r="F131" s="26">
        <v>2.2413793103448717E-3</v>
      </c>
    </row>
    <row r="132" spans="1:6">
      <c r="A132" s="25">
        <v>8.1323320759940487E-3</v>
      </c>
      <c r="B132" s="25">
        <v>2.3331472175693254E-2</v>
      </c>
      <c r="C132" s="25">
        <v>4.3018682399213366E-3</v>
      </c>
      <c r="D132" s="25">
        <v>3.4264628360568977E-3</v>
      </c>
      <c r="E132" s="25">
        <v>-8.5552865213881432E-3</v>
      </c>
      <c r="F132" s="26">
        <v>-1.5864935946381643E-2</v>
      </c>
    </row>
    <row r="133" spans="1:6">
      <c r="A133" s="25">
        <v>8.8677861955799436E-3</v>
      </c>
      <c r="B133" s="25">
        <v>1.1168192986374804E-4</v>
      </c>
      <c r="C133" s="25">
        <v>7.9947527602667878E-3</v>
      </c>
      <c r="D133" s="25">
        <v>-2.471447982079238E-2</v>
      </c>
      <c r="E133" s="25">
        <v>4.8661800486618006E-3</v>
      </c>
      <c r="F133" s="26">
        <v>3.9693040486901296E-2</v>
      </c>
    </row>
    <row r="134" spans="1:6">
      <c r="A134" s="25">
        <v>-1.8672057009730025E-2</v>
      </c>
      <c r="B134" s="25">
        <v>8.7195547844895836E-3</v>
      </c>
      <c r="C134" s="25">
        <v>-1.9689792885669199E-2</v>
      </c>
      <c r="D134" s="25">
        <v>5.2419801395399675E-3</v>
      </c>
      <c r="E134" s="25">
        <v>-1.194005929962344E-2</v>
      </c>
      <c r="F134" s="26">
        <v>-1.9205813651699963E-2</v>
      </c>
    </row>
    <row r="135" spans="1:6">
      <c r="A135" s="25">
        <v>2.0942767878601863E-3</v>
      </c>
      <c r="B135" s="25">
        <v>-1.3323749323808686E-2</v>
      </c>
      <c r="C135" s="25">
        <v>1.3234515616728428E-3</v>
      </c>
      <c r="D135" s="25">
        <v>2.405269390171699E-3</v>
      </c>
      <c r="E135" s="25">
        <v>-1.0074567666190559E-2</v>
      </c>
      <c r="F135" s="26">
        <v>-1.0190101044699416E-2</v>
      </c>
    </row>
    <row r="136" spans="1:6">
      <c r="A136" s="25">
        <v>-2.3435928384630891E-2</v>
      </c>
      <c r="B136" s="25">
        <v>-7.6842755456203301E-3</v>
      </c>
      <c r="C136" s="25">
        <v>-3.4860096239529236E-3</v>
      </c>
      <c r="D136" s="25">
        <v>1.171801879375545E-2</v>
      </c>
      <c r="E136" s="25">
        <v>-4.2654028436019675E-3</v>
      </c>
      <c r="F136" s="26">
        <v>-1.9479429051217408E-2</v>
      </c>
    </row>
    <row r="137" spans="1:6">
      <c r="A137" s="25">
        <v>-1.4635435594172314E-2</v>
      </c>
      <c r="B137" s="25">
        <v>-4.1447590035002379E-3</v>
      </c>
      <c r="C137" s="25">
        <v>1.995928161128481E-2</v>
      </c>
      <c r="D137" s="25">
        <v>1.1627026208150211E-2</v>
      </c>
      <c r="E137" s="25">
        <v>-9.9319621490576715E-3</v>
      </c>
      <c r="F137" s="26">
        <v>-3.3573946617430125E-4</v>
      </c>
    </row>
    <row r="138" spans="1:6">
      <c r="A138" s="25">
        <v>9.0003000100003332E-3</v>
      </c>
      <c r="B138" s="25">
        <v>-1.0843504400420175E-2</v>
      </c>
      <c r="C138" s="25">
        <v>5.1746064229436254E-3</v>
      </c>
      <c r="D138" s="25">
        <v>-1.5146925174193082E-4</v>
      </c>
      <c r="E138" s="25">
        <v>-8.1445857896369836E-3</v>
      </c>
      <c r="F138" s="26">
        <v>1.9074501753485622E-2</v>
      </c>
    </row>
    <row r="139" spans="1:6">
      <c r="A139" s="25">
        <v>-2.0624729716243032E-3</v>
      </c>
      <c r="B139" s="25">
        <v>3.16087777939253E-3</v>
      </c>
      <c r="C139" s="25">
        <v>5.0095489936830264E-3</v>
      </c>
      <c r="D139" s="25">
        <v>1.9349698372350284E-3</v>
      </c>
      <c r="E139" s="25">
        <v>-1.45990980661927E-2</v>
      </c>
      <c r="F139" s="26">
        <v>8.1498612395929718E-2</v>
      </c>
    </row>
    <row r="140" spans="1:6">
      <c r="A140" s="25">
        <v>7.3724070909151843E-3</v>
      </c>
      <c r="B140" s="25">
        <v>1.2976880101871768E-2</v>
      </c>
      <c r="C140" s="25">
        <v>4.8723182991179753E-2</v>
      </c>
      <c r="D140" s="25">
        <v>4.4588414634145652E-3</v>
      </c>
      <c r="E140" s="25">
        <v>6.1185468451239349E-4</v>
      </c>
      <c r="F140" s="26">
        <v>1.5309476847938343E-2</v>
      </c>
    </row>
    <row r="141" spans="1:6">
      <c r="A141" s="25">
        <v>3.3669333887560986E-2</v>
      </c>
      <c r="B141" s="25">
        <v>-1.3298181395618976E-2</v>
      </c>
      <c r="C141" s="25">
        <v>-2.0212388579019216E-2</v>
      </c>
      <c r="D141" s="25">
        <v>-5.1184834123222745E-3</v>
      </c>
      <c r="E141" s="25">
        <v>-1.9865067466266866E-2</v>
      </c>
      <c r="F141" s="26">
        <v>3.5398230088495582E-2</v>
      </c>
    </row>
    <row r="142" spans="1:6">
      <c r="A142" s="25">
        <v>-9.7756740069973244E-3</v>
      </c>
      <c r="B142" s="25">
        <v>-7.6201258409353163E-4</v>
      </c>
      <c r="C142" s="25">
        <v>1.1203968708261727E-2</v>
      </c>
      <c r="D142" s="25">
        <v>1.2825928343765636E-2</v>
      </c>
      <c r="E142" s="25">
        <v>-1.6151633601298097E-2</v>
      </c>
      <c r="F142" s="26">
        <v>-4.0854397910642624E-2</v>
      </c>
    </row>
    <row r="143" spans="1:6">
      <c r="A143" s="25">
        <v>-1.192977699450953E-2</v>
      </c>
      <c r="B143" s="25">
        <v>-1.528941190110458E-3</v>
      </c>
      <c r="C143" s="25">
        <v>3.4772788299031701E-2</v>
      </c>
      <c r="D143" s="25">
        <v>2.648902203476677E-2</v>
      </c>
      <c r="E143" s="25">
        <v>2.6341684959503585E-2</v>
      </c>
      <c r="F143" s="26">
        <v>9.4153092929102726E-3</v>
      </c>
    </row>
    <row r="144" spans="1:6">
      <c r="A144" s="25">
        <v>9.9606366592503541E-3</v>
      </c>
      <c r="B144" s="25">
        <v>3.3881545463799361E-3</v>
      </c>
      <c r="C144" s="25">
        <v>-1.1938947499843935E-2</v>
      </c>
      <c r="D144" s="25">
        <v>1.8753513773994167E-2</v>
      </c>
      <c r="E144" s="25">
        <v>-2.3071803593877133E-2</v>
      </c>
      <c r="F144" s="26">
        <v>-1.6574074074074133E-2</v>
      </c>
    </row>
    <row r="145" spans="1:6">
      <c r="A145" s="25">
        <v>-6.326315431447879E-3</v>
      </c>
      <c r="B145" s="25">
        <v>2.5201815783000403E-2</v>
      </c>
      <c r="C145" s="25">
        <v>1.0566823329022489E-2</v>
      </c>
      <c r="D145" s="25">
        <v>3.2229473853839338E-3</v>
      </c>
      <c r="E145" s="25">
        <v>-5.6617647058823861E-3</v>
      </c>
      <c r="F145" s="26">
        <v>-9.5250062829856777E-2</v>
      </c>
    </row>
    <row r="146" spans="1:6">
      <c r="A146" s="25">
        <v>-7.5276802592493183E-3</v>
      </c>
      <c r="B146" s="25">
        <v>1.840085627747045E-2</v>
      </c>
      <c r="C146" s="25">
        <v>-5.4381664709449292E-4</v>
      </c>
      <c r="D146" s="25">
        <v>3.0343281723465159E-2</v>
      </c>
      <c r="E146" s="25">
        <v>0.12035587774940266</v>
      </c>
      <c r="F146" s="26">
        <v>1.513734161068119E-2</v>
      </c>
    </row>
    <row r="147" spans="1:6">
      <c r="A147" s="25">
        <v>3.0473352745987673E-3</v>
      </c>
      <c r="B147" s="25">
        <v>-1.1236208061247522E-2</v>
      </c>
      <c r="C147" s="25">
        <v>9.8372398424131768E-3</v>
      </c>
      <c r="D147" s="25">
        <v>1.9547496256861661E-3</v>
      </c>
      <c r="E147" s="25">
        <v>6.050058014255082E-3</v>
      </c>
      <c r="F147" s="26">
        <v>-6.3848419711806353E-2</v>
      </c>
    </row>
    <row r="148" spans="1:6">
      <c r="A148" s="25">
        <v>-5.4145516074447007E-4</v>
      </c>
      <c r="B148" s="25">
        <v>-1.125079779733724E-2</v>
      </c>
      <c r="C148" s="25">
        <v>4.2842641216859195E-3</v>
      </c>
      <c r="D148" s="25">
        <v>2.436946148602602E-2</v>
      </c>
      <c r="E148" s="25">
        <v>4.2446941323345064E-3</v>
      </c>
      <c r="F148" s="26">
        <v>-2.096648480124717E-2</v>
      </c>
    </row>
    <row r="149" spans="1:6">
      <c r="A149" s="25">
        <v>1.4522607889587045E-2</v>
      </c>
      <c r="B149" s="25">
        <v>-2.5686008897573458E-3</v>
      </c>
      <c r="C149" s="25">
        <v>2.8704632537946716E-2</v>
      </c>
      <c r="D149" s="25">
        <v>-1.2453719286435695E-2</v>
      </c>
      <c r="E149" s="25">
        <v>1.5838612870957744E-3</v>
      </c>
      <c r="F149" s="26">
        <v>1.4550055353471593E-2</v>
      </c>
    </row>
    <row r="150" spans="1:6">
      <c r="A150" s="25">
        <v>1.0998453342498085E-3</v>
      </c>
      <c r="B150" s="25">
        <v>-1.7219554779572294E-2</v>
      </c>
      <c r="C150" s="25">
        <v>9.0854027861901887E-3</v>
      </c>
      <c r="D150" s="25">
        <v>2.949711959111204E-2</v>
      </c>
      <c r="E150" s="25">
        <v>5.8386854616716832E-4</v>
      </c>
      <c r="F150" s="26">
        <v>-2.249362294194953E-2</v>
      </c>
    </row>
    <row r="151" spans="1:6">
      <c r="A151" s="25">
        <v>1.8482864844050893E-2</v>
      </c>
      <c r="B151" s="25">
        <v>3.3064004028990688E-3</v>
      </c>
      <c r="C151" s="25">
        <v>6.475984889367987E-4</v>
      </c>
      <c r="D151" s="25">
        <v>2.0780828580271478E-2</v>
      </c>
      <c r="E151" s="25">
        <v>9.1750841750842509E-3</v>
      </c>
      <c r="F151" s="26">
        <v>4.5498626151608289E-2</v>
      </c>
    </row>
    <row r="152" spans="1:6">
      <c r="A152" s="25">
        <v>-8.2968825939040789E-3</v>
      </c>
      <c r="B152" s="25">
        <v>1.0323950828497054E-2</v>
      </c>
      <c r="C152" s="25">
        <v>-1.0182111041714575E-2</v>
      </c>
      <c r="D152" s="25">
        <v>-1.7335766423357706E-2</v>
      </c>
      <c r="E152" s="25">
        <v>-2.3513604299630121E-3</v>
      </c>
      <c r="F152" s="26">
        <v>-3.7042801556420271E-2</v>
      </c>
    </row>
    <row r="153" spans="1:6">
      <c r="A153" s="25">
        <v>3.5256064690026921E-2</v>
      </c>
      <c r="B153" s="25">
        <v>2.3024404963977271E-2</v>
      </c>
      <c r="C153" s="25">
        <v>-1.0097941826004327E-3</v>
      </c>
      <c r="D153" s="25">
        <v>-1.7782018475950511E-3</v>
      </c>
      <c r="E153" s="25">
        <v>-2.5129837493717542E-3</v>
      </c>
      <c r="F153" s="26">
        <v>9.823182711198428E-3</v>
      </c>
    </row>
    <row r="154" spans="1:6">
      <c r="A154" s="25">
        <v>-1.9727403156384504E-3</v>
      </c>
      <c r="B154" s="25">
        <v>1.1028991144772697E-2</v>
      </c>
      <c r="C154" s="25">
        <v>-4.0717877437553059E-3</v>
      </c>
      <c r="D154" s="25">
        <v>-1.3857405585732044E-2</v>
      </c>
      <c r="E154" s="25">
        <v>1.5136054421768668E-2</v>
      </c>
      <c r="F154" s="26">
        <v>-2.1153846153846155E-2</v>
      </c>
    </row>
    <row r="155" spans="1:6">
      <c r="A155" s="25">
        <v>-6.8749332098458236E-3</v>
      </c>
      <c r="B155" s="25">
        <v>-1.0572786959474783E-2</v>
      </c>
      <c r="C155" s="25">
        <v>9.1754474268316427E-3</v>
      </c>
      <c r="D155" s="25">
        <v>1.9490712479288314E-2</v>
      </c>
      <c r="E155" s="25">
        <v>-4.6550994498518834E-3</v>
      </c>
      <c r="F155" s="26">
        <v>4.3506180767378402E-2</v>
      </c>
    </row>
    <row r="156" spans="1:6">
      <c r="A156" s="25">
        <v>-9.9640582185677633E-4</v>
      </c>
      <c r="B156" s="25">
        <v>-1.7627915386005874E-3</v>
      </c>
      <c r="C156" s="25">
        <v>-2.8550271515551035E-3</v>
      </c>
      <c r="D156" s="25">
        <v>-4.9030242547835846E-3</v>
      </c>
      <c r="E156" s="25">
        <v>-1.7381902860944851E-2</v>
      </c>
      <c r="F156" s="26">
        <v>1.3999674426176126E-2</v>
      </c>
    </row>
    <row r="157" spans="1:6">
      <c r="A157" s="25">
        <v>2.4761140689957002E-2</v>
      </c>
      <c r="B157" s="25">
        <v>1.0305198264708094E-2</v>
      </c>
      <c r="C157" s="25">
        <v>3.5211147641517435E-2</v>
      </c>
      <c r="D157" s="25">
        <v>2.7507802050824707E-2</v>
      </c>
      <c r="E157" s="25">
        <v>1.4683544303797546E-2</v>
      </c>
      <c r="F157" s="26">
        <v>4.0481029810298115E-2</v>
      </c>
    </row>
    <row r="158" spans="1:6">
      <c r="A158" s="25">
        <v>-1.2531508822470358E-2</v>
      </c>
      <c r="B158" s="25">
        <v>-3.9043250824456997E-3</v>
      </c>
      <c r="C158" s="25">
        <v>3.8561840023941143E-3</v>
      </c>
      <c r="D158" s="25">
        <v>6.2455389007855591E-4</v>
      </c>
      <c r="E158" s="25">
        <v>-5.4553084347461183E-3</v>
      </c>
      <c r="F158" s="26">
        <v>1.6703977957637315E-2</v>
      </c>
    </row>
    <row r="159" spans="1:6">
      <c r="A159" s="25">
        <v>-2.9441332758867651E-3</v>
      </c>
      <c r="B159" s="25">
        <v>9.134655843808067E-3</v>
      </c>
      <c r="C159" s="25">
        <v>-4.562051561396223E-3</v>
      </c>
      <c r="D159" s="25">
        <v>-1.6108501953210844E-2</v>
      </c>
      <c r="E159" s="25">
        <v>-3.7405073517531071E-2</v>
      </c>
      <c r="F159" s="26">
        <v>6.5309117593102234E-2</v>
      </c>
    </row>
    <row r="160" spans="1:6">
      <c r="A160" s="25">
        <v>-3.6129568106312328E-2</v>
      </c>
      <c r="B160" s="25">
        <v>-2.5279453546207708E-2</v>
      </c>
      <c r="C160" s="25">
        <v>-6.549401197603863E-4</v>
      </c>
      <c r="D160" s="25">
        <v>1.2217878087791007E-2</v>
      </c>
      <c r="E160" s="25">
        <v>1.3427214671688115E-2</v>
      </c>
      <c r="F160" s="26">
        <v>4.0763723150357957E-2</v>
      </c>
    </row>
    <row r="161" spans="1:6">
      <c r="A161" s="25">
        <v>-1.3047339299132547E-2</v>
      </c>
      <c r="B161" s="25">
        <v>1.2442149290691876E-2</v>
      </c>
      <c r="C161" s="25">
        <v>5.6970796051392224E-3</v>
      </c>
      <c r="D161" s="25">
        <v>-2.9534773423015564E-2</v>
      </c>
      <c r="E161" s="25">
        <v>-1.7614413255046944E-2</v>
      </c>
      <c r="F161" s="26">
        <v>-2.0958369057825937E-3</v>
      </c>
    </row>
    <row r="162" spans="1:6">
      <c r="A162" s="25">
        <v>-2.653278361484231E-2</v>
      </c>
      <c r="B162" s="25">
        <v>-6.6022169571839637E-2</v>
      </c>
      <c r="C162" s="25">
        <v>-2.8520617614306756E-2</v>
      </c>
      <c r="D162" s="25">
        <v>-1.356753997958474E-2</v>
      </c>
      <c r="E162" s="25">
        <v>-2.4020723761676847E-2</v>
      </c>
      <c r="F162" s="26">
        <v>6.1267819229602692E-2</v>
      </c>
    </row>
    <row r="163" spans="1:6">
      <c r="A163" s="25">
        <v>1.7043148924658493E-2</v>
      </c>
      <c r="B163" s="25">
        <v>1.768914467782793E-2</v>
      </c>
      <c r="C163" s="25">
        <v>2.0471506105834432E-2</v>
      </c>
      <c r="D163" s="25">
        <v>1.568102293835575E-2</v>
      </c>
      <c r="E163" s="25">
        <v>-1.1714507370054235E-2</v>
      </c>
      <c r="F163" s="26">
        <v>-5.1223021582733848E-2</v>
      </c>
    </row>
    <row r="164" spans="1:6">
      <c r="A164" s="25">
        <v>1.1250555688540722E-2</v>
      </c>
      <c r="B164" s="25">
        <v>2.3315415344847844E-2</v>
      </c>
      <c r="C164" s="25">
        <v>-1.7805512925957588E-4</v>
      </c>
      <c r="D164" s="25">
        <v>2.9530798309984476E-2</v>
      </c>
      <c r="E164" s="25">
        <v>3.8940809968847352E-3</v>
      </c>
      <c r="F164" s="26">
        <v>3.7829766052762538E-2</v>
      </c>
    </row>
    <row r="165" spans="1:6">
      <c r="A165" s="25">
        <v>2.0559915019017919E-3</v>
      </c>
      <c r="B165" s="25">
        <v>-3.2813432199778399E-2</v>
      </c>
      <c r="C165" s="25">
        <v>-3.0090460526315761E-2</v>
      </c>
      <c r="D165" s="25">
        <v>-6.1991573150890621E-2</v>
      </c>
      <c r="E165" s="25">
        <v>-2.2682295630994029E-2</v>
      </c>
      <c r="F165" s="26">
        <v>-6.3577887573412817E-2</v>
      </c>
    </row>
    <row r="166" spans="1:6">
      <c r="A166" s="25">
        <v>-7.5497364393809956E-3</v>
      </c>
      <c r="B166" s="25">
        <v>-6.6009411664496676E-4</v>
      </c>
      <c r="C166" s="25">
        <v>-3.2794317666616238E-2</v>
      </c>
      <c r="D166" s="25">
        <v>-4.725755166931641E-2</v>
      </c>
      <c r="E166" s="25">
        <v>-4.5648204503966554E-4</v>
      </c>
      <c r="F166" s="26">
        <v>-1.7763941031041095E-2</v>
      </c>
    </row>
    <row r="167" spans="1:6">
      <c r="A167" s="25">
        <v>2.0475446815894499E-2</v>
      </c>
      <c r="B167" s="25">
        <v>1.1369369497402811E-3</v>
      </c>
      <c r="C167" s="25">
        <v>-3.0687495044009775E-3</v>
      </c>
      <c r="D167" s="25">
        <v>2.3853065118864159E-4</v>
      </c>
      <c r="E167" s="25">
        <v>-3.1963470319634604E-2</v>
      </c>
      <c r="F167" s="26">
        <v>-6.6740728080669998E-2</v>
      </c>
    </row>
    <row r="168" spans="1:6">
      <c r="A168" s="25">
        <v>6.598138630365645E-4</v>
      </c>
      <c r="B168" s="25">
        <v>6.3932491865412548E-3</v>
      </c>
      <c r="C168" s="25">
        <v>-1.1880247109139869E-3</v>
      </c>
      <c r="D168" s="25">
        <v>-1.4032612104107766E-2</v>
      </c>
      <c r="E168" s="25">
        <v>2.4363233665558913E-3</v>
      </c>
      <c r="F168" s="26">
        <v>0.12812108358237725</v>
      </c>
    </row>
    <row r="169" spans="1:6">
      <c r="A169" s="25">
        <v>-2.5779822721429146E-2</v>
      </c>
      <c r="B169" s="25">
        <v>-5.1367061049966013E-3</v>
      </c>
      <c r="C169" s="25">
        <v>-7.1276401967199882E-5</v>
      </c>
      <c r="D169" s="25">
        <v>6.2754941951675134E-4</v>
      </c>
      <c r="E169" s="25">
        <v>1.3089005235602094E-2</v>
      </c>
      <c r="F169" s="26">
        <v>-7.043641903396361E-2</v>
      </c>
    </row>
    <row r="170" spans="1:6">
      <c r="A170" s="25">
        <v>7.0868824531516803E-3</v>
      </c>
      <c r="B170" s="25">
        <v>-2.0180966455678552E-2</v>
      </c>
      <c r="C170" s="25">
        <v>-4.7685104907230795E-3</v>
      </c>
      <c r="D170" s="25">
        <v>1.8780468312954528E-2</v>
      </c>
      <c r="E170" s="25">
        <v>3.091988588171787E-2</v>
      </c>
      <c r="F170" s="26">
        <v>-1.3001945869449839E-2</v>
      </c>
    </row>
    <row r="171" spans="1:6">
      <c r="A171" s="25">
        <v>-8.5129383149786571E-3</v>
      </c>
      <c r="B171" s="25">
        <v>3.3567975330168053E-2</v>
      </c>
      <c r="C171" s="25">
        <v>3.4800765616843574E-3</v>
      </c>
      <c r="D171" s="25">
        <v>2.6918342224045922E-2</v>
      </c>
      <c r="E171" s="25">
        <v>-1.5397644160443451E-3</v>
      </c>
      <c r="F171" s="26">
        <v>6.9469184182401238E-3</v>
      </c>
    </row>
    <row r="172" spans="1:6">
      <c r="A172" s="25">
        <v>1.4427195778074744E-2</v>
      </c>
      <c r="B172" s="25">
        <v>-2.0058742957199567E-2</v>
      </c>
      <c r="C172" s="25">
        <v>-1.9576577572189492E-3</v>
      </c>
      <c r="D172" s="25">
        <v>1.970793757060961E-2</v>
      </c>
      <c r="E172" s="25">
        <v>1.0789980732177965E-3</v>
      </c>
      <c r="F172" s="26">
        <v>-1.7242888402625809E-2</v>
      </c>
    </row>
    <row r="173" spans="1:6">
      <c r="A173" s="25">
        <v>-3.8010153622997353E-2</v>
      </c>
      <c r="B173" s="25">
        <v>1.9950195257229402E-3</v>
      </c>
      <c r="C173" s="25">
        <v>2.504308705608195E-2</v>
      </c>
      <c r="D173" s="25">
        <v>-7.8874174934617462E-3</v>
      </c>
      <c r="E173" s="25">
        <v>2.2539207187327534E-2</v>
      </c>
      <c r="F173" s="26">
        <v>-6.8031650216167736E-2</v>
      </c>
    </row>
    <row r="174" spans="1:6">
      <c r="A174" s="25">
        <v>3.1663435703839712E-2</v>
      </c>
      <c r="B174" s="25">
        <v>0.13134999719867779</v>
      </c>
      <c r="C174" s="25">
        <v>1.6976070570422393E-2</v>
      </c>
      <c r="D174" s="25">
        <v>-4.0011158490415685E-2</v>
      </c>
      <c r="E174" s="25">
        <v>-1.4063714063713994E-2</v>
      </c>
      <c r="F174" s="26">
        <v>-7.6898170632993586E-3</v>
      </c>
    </row>
    <row r="175" spans="1:6">
      <c r="A175" s="25">
        <v>1.2569736207727803E-2</v>
      </c>
      <c r="B175" s="25">
        <v>-1.5871640568385897E-2</v>
      </c>
      <c r="C175" s="25">
        <v>1.5450177564236443E-2</v>
      </c>
      <c r="D175" s="25">
        <v>-1.2047718414110755E-2</v>
      </c>
      <c r="E175" s="25">
        <v>3.9244186046511552E-2</v>
      </c>
      <c r="F175" s="26">
        <v>4.7570592724497575E-2</v>
      </c>
    </row>
    <row r="176" spans="1:6">
      <c r="A176" s="25">
        <v>-9.11107319570033E-3</v>
      </c>
      <c r="B176" s="25">
        <v>-1.6157655318852146E-2</v>
      </c>
      <c r="C176" s="25">
        <v>-2.3092570361478528E-3</v>
      </c>
      <c r="D176" s="25">
        <v>-3.2963151905192052E-3</v>
      </c>
      <c r="E176" s="25">
        <v>-2.3959646910466478E-2</v>
      </c>
      <c r="F176" s="26">
        <v>-2.609629201420428E-2</v>
      </c>
    </row>
    <row r="177" spans="1:6">
      <c r="A177" s="25">
        <v>8.6043710204784032E-3</v>
      </c>
      <c r="B177" s="25">
        <v>-1.7324621523652866E-2</v>
      </c>
      <c r="C177" s="25">
        <v>1.7076769149892441E-2</v>
      </c>
      <c r="D177" s="25">
        <v>-1.8033987129590277E-2</v>
      </c>
      <c r="E177" s="25">
        <v>-5.3308247099403848E-3</v>
      </c>
      <c r="F177" s="26">
        <v>2.6273413001101861E-2</v>
      </c>
    </row>
    <row r="178" spans="1:6">
      <c r="A178" s="25">
        <v>1.1171434537481697E-2</v>
      </c>
      <c r="B178" s="25">
        <v>-6.7995310668229501E-3</v>
      </c>
      <c r="C178" s="25">
        <v>-3.2285327924273773E-3</v>
      </c>
      <c r="D178" s="25">
        <v>2.9965073821241469E-2</v>
      </c>
      <c r="E178" s="25">
        <v>-7.3151750972763356E-3</v>
      </c>
      <c r="F178" s="26">
        <v>-6.6239316239316282E-2</v>
      </c>
    </row>
    <row r="179" spans="1:6">
      <c r="A179" s="25">
        <v>-4.9864949096198111E-3</v>
      </c>
      <c r="B179" s="25">
        <v>-2.0665901262916189E-2</v>
      </c>
      <c r="C179" s="25">
        <v>-1.0313417480113362E-2</v>
      </c>
      <c r="D179" s="25">
        <v>-3.9713392789084638E-2</v>
      </c>
      <c r="E179" s="25">
        <v>1.228927052150615E-2</v>
      </c>
      <c r="F179" s="26">
        <v>-1.6194331983805654E-2</v>
      </c>
    </row>
    <row r="180" spans="1:6">
      <c r="A180" s="25">
        <v>2.0820320632937745E-3</v>
      </c>
      <c r="B180" s="25">
        <v>-1.8623652474794153E-2</v>
      </c>
      <c r="C180" s="25">
        <v>7.4440550013480655E-2</v>
      </c>
      <c r="D180" s="25">
        <v>8.6882977087499487E-3</v>
      </c>
      <c r="E180" s="25">
        <v>-1.6121531545496788E-2</v>
      </c>
      <c r="F180" s="26">
        <v>-6.1900340451873362E-3</v>
      </c>
    </row>
    <row r="181" spans="1:6">
      <c r="A181" s="25">
        <v>-2.2159130254136268E-3</v>
      </c>
      <c r="B181" s="25">
        <v>1.8509332405398801E-2</v>
      </c>
      <c r="C181" s="25">
        <v>-1.8627295337884382E-2</v>
      </c>
      <c r="D181" s="25">
        <v>-3.5413653724923055E-2</v>
      </c>
      <c r="E181" s="25">
        <v>-1.1265231052187942E-2</v>
      </c>
      <c r="F181" s="26">
        <v>1.4442700156985898E-2</v>
      </c>
    </row>
    <row r="182" spans="1:6">
      <c r="A182" s="25">
        <v>2.2625075239882317E-2</v>
      </c>
      <c r="B182" s="25">
        <v>-2.4723628250211179E-2</v>
      </c>
      <c r="C182" s="25">
        <v>-1.5892303819881312E-2</v>
      </c>
      <c r="D182" s="25">
        <v>4.0955763143673246E-2</v>
      </c>
      <c r="E182" s="25">
        <v>3.7692307692308393E-3</v>
      </c>
      <c r="F182" s="26">
        <v>-5.5666740790156335E-2</v>
      </c>
    </row>
    <row r="183" spans="1:6">
      <c r="A183" s="25">
        <v>-9.7124824684431347E-3</v>
      </c>
      <c r="B183" s="25">
        <v>2.7709135703525577E-2</v>
      </c>
      <c r="C183" s="25">
        <v>-1.619004517159231E-2</v>
      </c>
      <c r="D183" s="25">
        <v>-2.2722896206432085E-3</v>
      </c>
      <c r="E183" s="25">
        <v>-5.1274202188720018E-3</v>
      </c>
      <c r="F183" s="26">
        <v>2.6868625361546668E-2</v>
      </c>
    </row>
    <row r="184" spans="1:6">
      <c r="A184" s="25">
        <v>3.7996797204833344E-2</v>
      </c>
      <c r="B184" s="25">
        <v>-2.2898161911322139E-2</v>
      </c>
      <c r="C184" s="25">
        <v>-2.5041949524287829E-3</v>
      </c>
      <c r="D184" s="25">
        <v>-3.4363494365725791E-2</v>
      </c>
      <c r="E184" s="25">
        <v>1.3888888888888959E-2</v>
      </c>
      <c r="F184" s="26">
        <v>2.4804992199688042E-2</v>
      </c>
    </row>
    <row r="185" spans="1:6">
      <c r="A185" s="25">
        <v>7.2955237012868324E-3</v>
      </c>
      <c r="B185" s="25">
        <v>-3.2698121015311075E-2</v>
      </c>
      <c r="C185" s="25">
        <v>-4.8400495024327706E-3</v>
      </c>
      <c r="D185" s="25">
        <v>-2.8997544417160095E-2</v>
      </c>
      <c r="E185" s="25">
        <v>1.8250770324721426E-2</v>
      </c>
      <c r="F185" s="26">
        <v>1.8834936024795284E-2</v>
      </c>
    </row>
    <row r="186" spans="1:6">
      <c r="A186" s="25">
        <v>-3.0336257309942186E-3</v>
      </c>
      <c r="B186" s="25">
        <v>0.11421359466091495</v>
      </c>
      <c r="C186" s="25">
        <v>3.8338995581686033E-2</v>
      </c>
      <c r="D186" s="25">
        <v>1.2060521891674586E-2</v>
      </c>
      <c r="E186" s="25">
        <v>-7.8388335815630632E-3</v>
      </c>
      <c r="F186" s="26">
        <v>-1.9098846273776136E-2</v>
      </c>
    </row>
    <row r="187" spans="1:6">
      <c r="A187" s="25">
        <v>-2.2973416475222191E-3</v>
      </c>
      <c r="B187" s="25">
        <v>5.3740630745298841E-3</v>
      </c>
      <c r="C187" s="25">
        <v>4.8021224850762125E-3</v>
      </c>
      <c r="D187" s="25">
        <v>2.5589471760183445E-4</v>
      </c>
      <c r="E187" s="25">
        <v>-1.997388031036337E-2</v>
      </c>
      <c r="F187" s="26">
        <v>4.573245292247493E-2</v>
      </c>
    </row>
    <row r="188" spans="1:6">
      <c r="A188" s="25">
        <v>-1.9241085798075794E-2</v>
      </c>
      <c r="B188" s="25">
        <v>-4.6141333249913978E-3</v>
      </c>
      <c r="C188" s="25">
        <v>2.4527036822267392E-2</v>
      </c>
      <c r="D188" s="25">
        <v>1.1350192250813301E-2</v>
      </c>
      <c r="E188" s="25">
        <v>6.0282865754694749E-3</v>
      </c>
      <c r="F188" s="26">
        <v>-1.3113435237329007E-2</v>
      </c>
    </row>
    <row r="189" spans="1:6">
      <c r="A189" s="25">
        <v>1.6135479885161935E-2</v>
      </c>
      <c r="B189" s="25">
        <v>2.2821261448626107E-2</v>
      </c>
      <c r="C189" s="25">
        <v>1.0918150509269337E-2</v>
      </c>
      <c r="D189" s="25">
        <v>2.9664787896766538E-3</v>
      </c>
      <c r="E189" s="25">
        <v>2.9437504972551515E-2</v>
      </c>
      <c r="F189" s="26">
        <v>6.1518536506393953E-3</v>
      </c>
    </row>
    <row r="190" spans="1:6">
      <c r="A190" s="25">
        <v>1.0168869309838405E-2</v>
      </c>
      <c r="B190" s="25">
        <v>-2.0235585476147615E-2</v>
      </c>
      <c r="C190" s="25">
        <v>3.6403750689465312E-3</v>
      </c>
      <c r="D190" s="25">
        <v>-5.1886442813714191E-4</v>
      </c>
      <c r="E190" s="25">
        <v>2.2326768200304457E-3</v>
      </c>
      <c r="F190" s="26">
        <v>-3.6293249455600341E-3</v>
      </c>
    </row>
    <row r="191" spans="1:6">
      <c r="A191" s="25">
        <v>-3.694537740852042E-2</v>
      </c>
      <c r="B191" s="25">
        <v>-1.424334202020591E-3</v>
      </c>
      <c r="C191" s="25">
        <v>2.1341320288807239E-2</v>
      </c>
      <c r="D191" s="25">
        <v>-7.5403685585022258E-3</v>
      </c>
      <c r="E191" s="25">
        <v>9.823657299299314E-3</v>
      </c>
      <c r="F191" s="26">
        <v>-1.9066455696202616E-2</v>
      </c>
    </row>
    <row r="192" spans="1:6">
      <c r="A192" s="25">
        <v>2.8171573973100692E-2</v>
      </c>
      <c r="B192" s="25">
        <v>9.4802455383594438E-3</v>
      </c>
      <c r="C192" s="25">
        <v>-4.7283974844176454E-3</v>
      </c>
      <c r="D192" s="25">
        <v>-2.2542604443805375E-2</v>
      </c>
      <c r="E192" s="25">
        <v>1.3134279654103555E-2</v>
      </c>
      <c r="F192" s="26">
        <v>2.4585613450709989E-3</v>
      </c>
    </row>
    <row r="193" spans="1:6">
      <c r="A193" s="25">
        <v>-3.8383545770567457E-3</v>
      </c>
      <c r="B193" s="25">
        <v>1.8044969964621784E-3</v>
      </c>
      <c r="C193" s="25">
        <v>-1.8685825866788749E-4</v>
      </c>
      <c r="D193" s="25">
        <v>-2.1081899130679649E-2</v>
      </c>
      <c r="E193" s="25">
        <v>8.3909180651530486E-3</v>
      </c>
      <c r="F193" s="26">
        <v>6.7564135128270295E-2</v>
      </c>
    </row>
    <row r="194" spans="1:6">
      <c r="A194" s="25">
        <v>1.7651177359324942E-2</v>
      </c>
      <c r="B194" s="25">
        <v>-6.2213902565635554E-3</v>
      </c>
      <c r="C194" s="25">
        <v>-5.8977597800646438E-3</v>
      </c>
      <c r="D194" s="25">
        <v>4.5248868778280542E-2</v>
      </c>
      <c r="E194" s="25">
        <v>1.3422259274697715E-2</v>
      </c>
      <c r="F194" s="26">
        <v>-6.684048352690207E-2</v>
      </c>
    </row>
    <row r="195" spans="1:6">
      <c r="A195" s="25">
        <v>-3.0858528342089164E-3</v>
      </c>
      <c r="B195" s="25">
        <v>-3.9640260716970535E-3</v>
      </c>
      <c r="C195" s="25">
        <v>1.2688230701944116E-2</v>
      </c>
      <c r="D195" s="25">
        <v>1.3874902092424854E-2</v>
      </c>
      <c r="E195" s="25">
        <v>-1.4055564688476007E-2</v>
      </c>
      <c r="F195" s="26">
        <v>-3.2191466585104814E-2</v>
      </c>
    </row>
    <row r="196" spans="1:6">
      <c r="A196" s="25">
        <v>-2.2093691622359534E-2</v>
      </c>
      <c r="B196" s="25">
        <v>4.6242230913320399E-4</v>
      </c>
      <c r="C196" s="25">
        <v>-1.4679851347969904E-2</v>
      </c>
      <c r="D196" s="25">
        <v>1.7147843241397554E-2</v>
      </c>
      <c r="E196" s="25">
        <v>-6.1269504125479948E-3</v>
      </c>
      <c r="F196" s="26">
        <v>-3.5403451836554148E-2</v>
      </c>
    </row>
    <row r="197" spans="1:6">
      <c r="A197" s="25">
        <v>-8.4422754960283095E-3</v>
      </c>
      <c r="B197" s="25">
        <v>-9.2944885313621609E-3</v>
      </c>
      <c r="C197" s="25">
        <v>2.3145777626064224E-2</v>
      </c>
      <c r="D197" s="25">
        <v>-3.7536057253441314E-2</v>
      </c>
      <c r="E197" s="25">
        <v>-3.6521054702872958E-2</v>
      </c>
      <c r="F197" s="26">
        <v>3.511986562834038E-2</v>
      </c>
    </row>
    <row r="198" spans="1:6">
      <c r="A198" s="25">
        <v>7.6815391794393516E-3</v>
      </c>
      <c r="B198" s="25">
        <v>-2.9805451688072401E-3</v>
      </c>
      <c r="C198" s="25">
        <v>1.3716537703657493E-2</v>
      </c>
      <c r="D198" s="25">
        <v>9.5845467615291047E-3</v>
      </c>
      <c r="E198" s="25">
        <v>5.0628905940986405E-3</v>
      </c>
      <c r="F198" s="26">
        <v>-6.8243858052775682E-3</v>
      </c>
    </row>
    <row r="199" spans="1:6">
      <c r="A199" s="25">
        <v>-1.160150429291131E-2</v>
      </c>
      <c r="B199" s="25">
        <v>1.3360215897323335E-2</v>
      </c>
      <c r="C199" s="25">
        <v>-1.355900061631821E-2</v>
      </c>
      <c r="D199" s="25">
        <v>-4.6963859842231448E-3</v>
      </c>
      <c r="E199" s="25">
        <v>-6.5231059415279636E-3</v>
      </c>
      <c r="F199" s="26">
        <v>1.7514080703649269E-2</v>
      </c>
    </row>
    <row r="200" spans="1:6">
      <c r="A200" s="25">
        <v>-5.293619424054207E-3</v>
      </c>
      <c r="B200" s="25">
        <v>4.8718959400866589E-3</v>
      </c>
      <c r="C200" s="25">
        <v>1.8159175162187246E-2</v>
      </c>
      <c r="D200" s="25">
        <v>1.425275379577262E-2</v>
      </c>
      <c r="E200" s="25">
        <v>4.209664209664217E-2</v>
      </c>
      <c r="F200" s="26">
        <v>3.522364217252405E-2</v>
      </c>
    </row>
    <row r="201" spans="1:6">
      <c r="A201" s="25">
        <v>-8.6761824797089906E-3</v>
      </c>
      <c r="B201" s="25">
        <v>1.5238005005644593E-3</v>
      </c>
      <c r="C201" s="25">
        <v>6.4723668576165344E-4</v>
      </c>
      <c r="D201" s="25">
        <v>-3.9874231813634545E-2</v>
      </c>
      <c r="E201" s="25">
        <v>4.5248868778280547E-3</v>
      </c>
      <c r="F201" s="26">
        <v>3.5480936233562209E-2</v>
      </c>
    </row>
    <row r="202" spans="1:6">
      <c r="A202" s="25">
        <v>4.3217033835775912E-3</v>
      </c>
      <c r="B202" s="25">
        <v>1.6345690900337082E-2</v>
      </c>
      <c r="C202" s="25">
        <v>-8.4863461777916864E-3</v>
      </c>
      <c r="D202" s="25">
        <v>1.4131458801362417E-2</v>
      </c>
      <c r="E202" s="25">
        <v>3.0084745762711865E-2</v>
      </c>
      <c r="F202" s="26">
        <v>-7.2255521799820151E-3</v>
      </c>
    </row>
    <row r="203" spans="1:6">
      <c r="A203" s="25">
        <v>-3.3965964003082401E-3</v>
      </c>
      <c r="B203" s="25">
        <v>-3.9085917080305685E-3</v>
      </c>
      <c r="C203" s="25">
        <v>-3.8841118742059748E-2</v>
      </c>
      <c r="D203" s="25">
        <v>-6.8017418217150597E-3</v>
      </c>
      <c r="E203" s="25">
        <v>2.2082554781721665E-3</v>
      </c>
      <c r="F203" s="26">
        <v>7.4447845148482563E-3</v>
      </c>
    </row>
    <row r="204" spans="1:6">
      <c r="A204" s="25">
        <v>1.8364654280925721E-2</v>
      </c>
      <c r="B204" s="25">
        <v>8.1061698750231961E-3</v>
      </c>
      <c r="C204" s="25">
        <v>4.1907666925652162E-2</v>
      </c>
      <c r="D204" s="25">
        <v>5.4455069823922286E-2</v>
      </c>
      <c r="E204" s="25">
        <v>3.0817720189108777E-2</v>
      </c>
      <c r="F204" s="26">
        <v>-9.0909090909090443E-4</v>
      </c>
    </row>
    <row r="205" spans="1:6">
      <c r="A205" s="25">
        <v>-1.7276422764227549E-2</v>
      </c>
      <c r="B205" s="25">
        <v>3.2050162579314562E-2</v>
      </c>
      <c r="C205" s="25">
        <v>1.6289407498391386E-2</v>
      </c>
      <c r="D205" s="25">
        <v>8.9330742838245589E-2</v>
      </c>
      <c r="E205" s="25">
        <v>3.7986186841148628E-2</v>
      </c>
      <c r="F205" s="26">
        <v>-1.1760862463247286E-2</v>
      </c>
    </row>
    <row r="206" spans="1:6">
      <c r="A206" s="25">
        <v>5.8103748748563097E-2</v>
      </c>
      <c r="B206" s="25">
        <v>6.6075038121919144E-2</v>
      </c>
      <c r="C206" s="25">
        <v>3.2645788663062954E-2</v>
      </c>
      <c r="D206" s="25">
        <v>-1.546538602417484E-2</v>
      </c>
      <c r="E206" s="25">
        <v>3.1689480592537206E-2</v>
      </c>
      <c r="F206" s="26">
        <v>5.1528684300927517E-2</v>
      </c>
    </row>
    <row r="207" spans="1:6">
      <c r="A207" s="25">
        <v>3.2108687332567963E-2</v>
      </c>
      <c r="B207" s="25">
        <v>-7.0436695977518185E-2</v>
      </c>
      <c r="C207" s="25">
        <v>-9.8971414902524705E-3</v>
      </c>
      <c r="D207" s="25">
        <v>-0.10331362674257351</v>
      </c>
      <c r="E207" s="25">
        <v>-6.3482307489683185E-2</v>
      </c>
      <c r="F207" s="26">
        <v>1.2521739130434762E-2</v>
      </c>
    </row>
    <row r="208" spans="1:6">
      <c r="A208" s="25">
        <v>2.845672452473735E-2</v>
      </c>
      <c r="B208" s="25">
        <v>-1.8141360197435022E-2</v>
      </c>
      <c r="C208" s="25">
        <v>9.1732045866023664E-3</v>
      </c>
      <c r="D208" s="25">
        <v>6.738859457775008E-2</v>
      </c>
      <c r="E208" s="25">
        <v>3.2828511834587869E-2</v>
      </c>
      <c r="F208" s="26">
        <v>4.8982942625193877E-2</v>
      </c>
    </row>
    <row r="209" spans="1:6">
      <c r="A209" s="25">
        <v>-2.8258565877782773E-3</v>
      </c>
      <c r="B209" s="25">
        <v>-2.8542007294679941E-2</v>
      </c>
      <c r="C209" s="25">
        <v>-5.2130757146716927E-3</v>
      </c>
      <c r="D209" s="25">
        <v>3.8973653324699389E-2</v>
      </c>
      <c r="E209" s="25">
        <v>2.1018518518518561E-2</v>
      </c>
      <c r="F209" s="26">
        <v>-7.8733031674208549E-3</v>
      </c>
    </row>
    <row r="210" spans="1:6">
      <c r="A210" s="25">
        <v>-1.9736842105263053E-2</v>
      </c>
      <c r="B210" s="25">
        <v>-1.8595089954727554E-3</v>
      </c>
      <c r="C210" s="25">
        <v>-2.8104365415098559E-2</v>
      </c>
      <c r="D210" s="25">
        <v>-6.6733668341708175E-3</v>
      </c>
      <c r="E210" s="25">
        <v>-2.7114674353661751E-2</v>
      </c>
      <c r="F210" s="26">
        <v>-3.7707916049812752E-2</v>
      </c>
    </row>
    <row r="211" spans="1:6">
      <c r="A211" s="25">
        <v>-2.3591284748309609E-2</v>
      </c>
      <c r="B211" s="25">
        <v>-1.3979576048274852E-2</v>
      </c>
      <c r="C211" s="25">
        <v>-9.1328637357295471E-4</v>
      </c>
      <c r="D211" s="25">
        <v>1.5057536929731531E-2</v>
      </c>
      <c r="E211" s="25">
        <v>1.406778112724935E-2</v>
      </c>
      <c r="F211" s="26">
        <v>8.1650570676030949E-3</v>
      </c>
    </row>
    <row r="212" spans="1:6">
      <c r="A212" s="25">
        <v>1.542571202829267E-3</v>
      </c>
      <c r="B212" s="25">
        <v>4.6946897152095228E-3</v>
      </c>
      <c r="C212" s="25">
        <v>-2.2294627251310959E-2</v>
      </c>
      <c r="D212" s="25">
        <v>-4.0372792418843215E-2</v>
      </c>
      <c r="E212" s="25">
        <v>-1.2716450216450135E-2</v>
      </c>
      <c r="F212" s="26">
        <v>6.9784915938762154E-2</v>
      </c>
    </row>
    <row r="213" spans="1:6">
      <c r="A213" s="25">
        <v>1.4194680810470589E-2</v>
      </c>
      <c r="B213" s="25">
        <v>6.7728951408772178E-2</v>
      </c>
      <c r="C213" s="25">
        <v>3.0976701368145912E-2</v>
      </c>
      <c r="D213" s="25">
        <v>9.6070214280065333E-3</v>
      </c>
      <c r="E213" s="25">
        <v>-3.7735849056604182E-3</v>
      </c>
      <c r="F213" s="26">
        <v>2.5722543352601174E-2</v>
      </c>
    </row>
    <row r="214" spans="1:6">
      <c r="A214" s="25">
        <v>-7.3482065073293022E-3</v>
      </c>
      <c r="B214" s="25">
        <v>6.1330726138885884E-2</v>
      </c>
      <c r="C214" s="25">
        <v>7.5783740045982642E-3</v>
      </c>
      <c r="D214" s="25">
        <v>1.1861927167774383E-4</v>
      </c>
      <c r="E214" s="25">
        <v>-7.5791350869371379E-3</v>
      </c>
      <c r="F214" s="26">
        <v>9.320695102685618E-2</v>
      </c>
    </row>
    <row r="215" spans="1:6">
      <c r="A215" s="25">
        <v>1.1028989392256626E-2</v>
      </c>
      <c r="B215" s="25">
        <v>-1.3297178912238618E-2</v>
      </c>
      <c r="C215" s="25">
        <v>3.191218548575963E-2</v>
      </c>
      <c r="D215" s="25">
        <v>5.9264533422683868E-2</v>
      </c>
      <c r="E215" s="25">
        <v>4.9283154121863796E-3</v>
      </c>
      <c r="F215" s="26">
        <v>-4.612642834678664E-3</v>
      </c>
    </row>
    <row r="216" spans="1:6">
      <c r="A216" s="25">
        <v>1.7733260581495051E-2</v>
      </c>
      <c r="B216" s="25">
        <v>-5.1273183174094742E-3</v>
      </c>
      <c r="C216" s="25">
        <v>2.5093159921923267E-2</v>
      </c>
      <c r="D216" s="25">
        <v>-9.9518991540885719E-3</v>
      </c>
      <c r="E216" s="25">
        <v>-4.99286733238223E-3</v>
      </c>
      <c r="F216" s="26">
        <v>6.4359569529436533E-3</v>
      </c>
    </row>
    <row r="217" spans="1:6">
      <c r="A217" s="25">
        <v>-1.2698168385408649E-2</v>
      </c>
      <c r="B217" s="25">
        <v>1.515413924489089E-3</v>
      </c>
      <c r="C217" s="25">
        <v>1.2802351150202822E-2</v>
      </c>
      <c r="D217" s="25">
        <v>8.7844055885551754E-3</v>
      </c>
      <c r="E217" s="25">
        <v>1.2731376975169219E-2</v>
      </c>
      <c r="F217" s="26">
        <v>2.487024221453284E-2</v>
      </c>
    </row>
    <row r="218" spans="1:6">
      <c r="A218" s="25">
        <v>3.3202069338276441E-3</v>
      </c>
      <c r="B218" s="25">
        <v>2.6046188574405278E-3</v>
      </c>
      <c r="C218" s="25">
        <v>3.6073505071510417E-3</v>
      </c>
      <c r="D218" s="25">
        <v>4.0740896299717826E-3</v>
      </c>
      <c r="E218" s="25">
        <v>3.7157875657059169E-3</v>
      </c>
      <c r="F218" s="26">
        <v>-1.9923696481559935E-2</v>
      </c>
    </row>
    <row r="219" spans="1:6">
      <c r="A219" s="25">
        <v>-5.8721934369603459E-3</v>
      </c>
      <c r="B219" s="25">
        <v>1.894937985456225E-2</v>
      </c>
      <c r="C219" s="25">
        <v>6.7614479966674598E-3</v>
      </c>
      <c r="D219" s="25">
        <v>8.0312173873587731E-2</v>
      </c>
      <c r="E219" s="25">
        <v>1.452169177709327E-3</v>
      </c>
      <c r="F219" s="26">
        <v>-2.8532177956250241E-3</v>
      </c>
    </row>
    <row r="220" spans="1:6">
      <c r="A220" s="25">
        <v>8.6327036234128927E-3</v>
      </c>
      <c r="B220" s="25">
        <v>2.9265005827505797E-2</v>
      </c>
      <c r="C220" s="25">
        <v>1.430134671014854E-2</v>
      </c>
      <c r="D220" s="25">
        <v>1.9238773528187536E-2</v>
      </c>
      <c r="E220" s="25">
        <v>1.5390286609529119E-2</v>
      </c>
      <c r="F220" s="26">
        <v>3.5792469352013967E-2</v>
      </c>
    </row>
    <row r="221" spans="1:6">
      <c r="A221" s="25">
        <v>-1.1707093121126468E-2</v>
      </c>
      <c r="B221" s="25">
        <v>6.230301253390017E-3</v>
      </c>
      <c r="C221" s="25">
        <v>1.2194720738701668E-2</v>
      </c>
      <c r="D221" s="25">
        <v>7.8938176737687882E-2</v>
      </c>
      <c r="E221" s="25">
        <v>-1.6050054406964134E-2</v>
      </c>
      <c r="F221" s="26">
        <v>1.0619469026548603E-2</v>
      </c>
    </row>
    <row r="222" spans="1:6">
      <c r="A222" s="25">
        <v>-2.3462601808264115E-2</v>
      </c>
      <c r="B222" s="25">
        <v>2.7227979030785523E-2</v>
      </c>
      <c r="C222" s="25">
        <v>5.4026042757753835E-3</v>
      </c>
      <c r="D222" s="25">
        <v>-1.100473746545607E-2</v>
      </c>
      <c r="E222" s="25">
        <v>2.7293898462971547E-2</v>
      </c>
      <c r="F222" s="26">
        <v>5.7854917668002919E-3</v>
      </c>
    </row>
    <row r="223" spans="1:6">
      <c r="A223" s="25">
        <v>1.3134486543775244E-2</v>
      </c>
      <c r="B223" s="25">
        <v>1.0076907720242227E-2</v>
      </c>
      <c r="C223" s="25">
        <v>1.5575661209773179E-2</v>
      </c>
      <c r="D223" s="25">
        <v>-2.3845079242738088E-2</v>
      </c>
      <c r="E223" s="25">
        <v>1.2640316951231103E-2</v>
      </c>
      <c r="F223" s="26">
        <v>1.2732394366197133E-2</v>
      </c>
    </row>
    <row r="224" spans="1:6">
      <c r="A224" s="25">
        <v>-7.4761439627320193E-3</v>
      </c>
      <c r="B224" s="25">
        <v>2.4684142338077249E-2</v>
      </c>
      <c r="C224" s="25">
        <v>3.8007345762239061E-2</v>
      </c>
      <c r="D224" s="25">
        <v>-1.354305265158715E-2</v>
      </c>
      <c r="E224" s="25">
        <v>-3.5717642635587758E-3</v>
      </c>
      <c r="F224" s="26">
        <v>-1.8360800796372045E-2</v>
      </c>
    </row>
    <row r="225" spans="1:6">
      <c r="A225" s="25">
        <v>-1.4367177664222665E-2</v>
      </c>
      <c r="B225" s="25">
        <v>-3.4143725420092919E-2</v>
      </c>
      <c r="C225" s="25">
        <v>-2.443560000453561E-2</v>
      </c>
      <c r="D225" s="25">
        <v>-5.0789354984212859E-2</v>
      </c>
      <c r="E225" s="25">
        <v>-2.6178489702517078E-2</v>
      </c>
      <c r="F225" s="26">
        <v>-1.5461071231363951E-3</v>
      </c>
    </row>
    <row r="226" spans="1:6">
      <c r="A226" s="25">
        <v>2.1136612848338222E-2</v>
      </c>
      <c r="B226" s="25">
        <v>1.4169712121067546E-2</v>
      </c>
      <c r="C226" s="25">
        <v>-2.1723634635618739E-3</v>
      </c>
      <c r="D226" s="25">
        <v>1.3346741018374539E-2</v>
      </c>
      <c r="E226" s="25">
        <v>1.458023774145621E-2</v>
      </c>
      <c r="F226" s="26">
        <v>-1.7256349034078612E-2</v>
      </c>
    </row>
    <row r="227" spans="1:6">
      <c r="A227" s="25">
        <v>5.7753069631644054E-2</v>
      </c>
      <c r="B227" s="25">
        <v>-3.3022697914744381E-2</v>
      </c>
      <c r="C227" s="25">
        <v>1.3822639670974619E-3</v>
      </c>
      <c r="D227" s="25">
        <v>-1.4548894193955105E-2</v>
      </c>
      <c r="E227" s="25">
        <v>-1.7876687340386842E-2</v>
      </c>
      <c r="F227" s="26">
        <v>3.7729474039869287E-2</v>
      </c>
    </row>
    <row r="228" spans="1:6">
      <c r="A228" s="25">
        <v>-8.3919437340149812E-4</v>
      </c>
      <c r="B228" s="25">
        <v>-2.9805710921400903E-3</v>
      </c>
      <c r="C228" s="25">
        <v>-1.5504567712574316E-2</v>
      </c>
      <c r="D228" s="25">
        <v>8.7644522829707944E-2</v>
      </c>
      <c r="E228" s="25">
        <v>2.2952043291659018E-2</v>
      </c>
      <c r="F228" s="26">
        <v>3.4607317641575548E-2</v>
      </c>
    </row>
    <row r="229" spans="1:6">
      <c r="A229" s="25">
        <v>1.4513905781237405E-2</v>
      </c>
      <c r="B229" s="25">
        <v>1.4446227929373929E-2</v>
      </c>
      <c r="C229" s="25">
        <v>-0.10091862727400358</v>
      </c>
      <c r="D229" s="25">
        <v>-1.1333914559720945E-2</v>
      </c>
      <c r="E229" s="25">
        <v>-2.2342208154906822E-3</v>
      </c>
      <c r="F229" s="26">
        <v>3.3477842003853404E-2</v>
      </c>
    </row>
    <row r="230" spans="1:6">
      <c r="A230" s="25">
        <v>1.1316113161131574E-2</v>
      </c>
      <c r="B230" s="25">
        <v>4.2171949093771669E-3</v>
      </c>
      <c r="C230" s="25">
        <v>-2.3034340861215929E-2</v>
      </c>
      <c r="D230" s="25">
        <v>-5.8088875980262988E-4</v>
      </c>
      <c r="E230" s="25">
        <v>-1.7380168313208925E-2</v>
      </c>
      <c r="F230" s="26">
        <v>-3.8888888888888883E-2</v>
      </c>
    </row>
    <row r="231" spans="1:6">
      <c r="A231" s="25">
        <v>1.1904273223595464E-3</v>
      </c>
      <c r="B231" s="25">
        <v>-3.9506728475628937E-2</v>
      </c>
      <c r="C231" s="25">
        <v>-1.561475251726396E-2</v>
      </c>
      <c r="D231" s="25">
        <v>1.868928448148335E-2</v>
      </c>
      <c r="E231" s="25">
        <v>-8.9747076420994155E-3</v>
      </c>
      <c r="F231" s="26">
        <v>-1.5496809480401087E-2</v>
      </c>
    </row>
    <row r="232" spans="1:6">
      <c r="A232" s="25">
        <v>1.2931392931392893E-2</v>
      </c>
      <c r="B232" s="25">
        <v>2.376608057797925E-2</v>
      </c>
      <c r="C232" s="25">
        <v>-1.2721386402590018E-2</v>
      </c>
      <c r="D232" s="25">
        <v>-6.3210505684044805E-3</v>
      </c>
      <c r="E232" s="25">
        <v>2.7203482045697725E-4</v>
      </c>
      <c r="F232" s="26">
        <v>2.2794620469580846E-4</v>
      </c>
    </row>
    <row r="233" spans="1:6">
      <c r="A233" s="25">
        <v>5.8245964386756984E-4</v>
      </c>
      <c r="B233" s="25">
        <v>1.7544188663322271E-2</v>
      </c>
      <c r="C233" s="25">
        <v>7.7727665291238849E-3</v>
      </c>
      <c r="D233" s="25">
        <v>-1.9835742759713729E-2</v>
      </c>
      <c r="E233" s="25">
        <v>1.509572901325466E-2</v>
      </c>
      <c r="F233" s="26">
        <v>6.1841946024446322E-2</v>
      </c>
    </row>
    <row r="234" spans="1:6">
      <c r="A234" s="25">
        <v>-9.0699208443271763E-3</v>
      </c>
      <c r="B234" s="25">
        <v>8.9785800787162834E-3</v>
      </c>
      <c r="C234" s="25">
        <v>3.4375511540351007E-3</v>
      </c>
      <c r="D234" s="25">
        <v>2.0237161897295155E-2</v>
      </c>
      <c r="E234" s="25">
        <v>-1.5623564010659114E-3</v>
      </c>
      <c r="F234" s="26">
        <v>3.7023092369477768E-2</v>
      </c>
    </row>
    <row r="235" spans="1:6">
      <c r="A235" s="25">
        <v>2.9235795816183689E-2</v>
      </c>
      <c r="B235" s="25">
        <v>7.5017396028940059E-3</v>
      </c>
      <c r="C235" s="25">
        <v>-4.6960505256701457E-3</v>
      </c>
      <c r="D235" s="25">
        <v>1.8160047894631742E-2</v>
      </c>
      <c r="E235" s="25">
        <v>3.5971223021581474E-3</v>
      </c>
      <c r="F235" s="26">
        <v>-3.3244358165493752E-2</v>
      </c>
    </row>
    <row r="236" spans="1:6">
      <c r="A236" s="25">
        <v>-6.0312104597217133E-3</v>
      </c>
      <c r="B236" s="25">
        <v>2.9558153282865463E-4</v>
      </c>
      <c r="C236" s="25">
        <v>2.2960559210203714E-2</v>
      </c>
      <c r="D236" s="25">
        <v>2.6318484383000558E-2</v>
      </c>
      <c r="E236" s="25">
        <v>-1.5655216870798833E-3</v>
      </c>
      <c r="F236" s="26">
        <v>3.6468812877263654E-2</v>
      </c>
    </row>
    <row r="237" spans="1:6">
      <c r="A237" s="25">
        <v>1.4244770500919787E-2</v>
      </c>
      <c r="B237" s="25">
        <v>1.0443763608686402E-2</v>
      </c>
      <c r="C237" s="25">
        <v>-3.5364340630890958E-3</v>
      </c>
      <c r="D237" s="25">
        <v>-3.8546743464776233E-2</v>
      </c>
      <c r="E237" s="25">
        <v>-6.0411899313500316E-3</v>
      </c>
      <c r="F237" s="26">
        <v>4.3569553805774187E-2</v>
      </c>
    </row>
    <row r="238" spans="1:6">
      <c r="A238" s="25">
        <v>5.2461836164264964E-3</v>
      </c>
      <c r="B238" s="25">
        <v>-6.5943742044159946E-3</v>
      </c>
      <c r="C238" s="25">
        <v>-1.7044690698880333E-2</v>
      </c>
      <c r="D238" s="25">
        <v>-1.4219159468116062E-2</v>
      </c>
      <c r="E238" s="25">
        <v>-1.2830938827143801E-2</v>
      </c>
      <c r="F238" s="26">
        <v>-0.10003543167591826</v>
      </c>
    </row>
    <row r="239" spans="1:6">
      <c r="A239" s="25">
        <v>-1.2316840093438097E-2</v>
      </c>
      <c r="B239" s="25">
        <v>-1.1532421335452635E-2</v>
      </c>
      <c r="C239" s="25">
        <v>-5.758267913011767E-4</v>
      </c>
      <c r="D239" s="25">
        <v>3.6362721923250997E-2</v>
      </c>
      <c r="E239" s="25">
        <v>-2.7100271002705918E-4</v>
      </c>
      <c r="F239" s="26">
        <v>7.4964302712993269E-3</v>
      </c>
    </row>
    <row r="240" spans="1:6">
      <c r="A240" s="25">
        <v>-1.2739935451001438E-4</v>
      </c>
      <c r="B240" s="25">
        <v>1.6375157453437157E-2</v>
      </c>
      <c r="C240" s="25">
        <v>-3.4524294874170747E-2</v>
      </c>
      <c r="D240" s="25">
        <v>1.1600101755278532E-2</v>
      </c>
      <c r="E240" s="25">
        <v>-3.3947115804171472E-2</v>
      </c>
      <c r="F240" s="26">
        <v>-3.8663921299473755E-2</v>
      </c>
    </row>
    <row r="241" spans="1:6">
      <c r="A241" s="25">
        <v>-1.862888101687844E-2</v>
      </c>
      <c r="B241" s="25">
        <v>-2.0300695216383745E-2</v>
      </c>
      <c r="C241" s="25">
        <v>-3.9180948141553561E-2</v>
      </c>
      <c r="D241" s="25">
        <v>-2.009173397148268E-2</v>
      </c>
      <c r="E241" s="25">
        <v>2.2121131032022286E-2</v>
      </c>
      <c r="F241" s="26">
        <v>1.6511627906976765E-2</v>
      </c>
    </row>
    <row r="242" spans="1:6">
      <c r="A242" s="25">
        <v>-2.471243344307612E-2</v>
      </c>
      <c r="B242" s="25">
        <v>-1.6819486894507768E-2</v>
      </c>
      <c r="C242" s="25">
        <v>-1.5116309656375736E-2</v>
      </c>
      <c r="D242" s="25">
        <v>1.6366860907017965E-2</v>
      </c>
      <c r="E242" s="25">
        <v>-8.9285714285715495E-3</v>
      </c>
      <c r="F242" s="26">
        <v>-2.4832747477038189E-2</v>
      </c>
    </row>
    <row r="243" spans="1:6">
      <c r="A243" s="25">
        <v>-6.0598715307235481E-3</v>
      </c>
      <c r="B243" s="25">
        <v>7.699846003079938E-3</v>
      </c>
      <c r="C243" s="25">
        <v>-1.6107429551880487E-3</v>
      </c>
      <c r="D243" s="25">
        <v>1.7258007207756414E-3</v>
      </c>
      <c r="E243" s="25">
        <v>1.4802188929756885E-2</v>
      </c>
      <c r="F243" s="26">
        <v>-2.6815272566762378E-2</v>
      </c>
    </row>
    <row r="244" spans="1:6">
      <c r="A244" s="25">
        <v>-6.8608570052960637E-3</v>
      </c>
      <c r="B244" s="25">
        <v>-5.9654135896388535E-3</v>
      </c>
      <c r="C244" s="25">
        <v>5.1828517123648976E-3</v>
      </c>
      <c r="D244" s="25">
        <v>2.247249325306205E-2</v>
      </c>
      <c r="E244" s="25">
        <v>-1.4237707817474275E-2</v>
      </c>
      <c r="F244" s="26">
        <v>4.1130514705882332E-2</v>
      </c>
    </row>
    <row r="245" spans="1:6">
      <c r="A245" s="25">
        <v>2.983224526898615E-2</v>
      </c>
      <c r="B245" s="25">
        <v>4.7146257346869315E-2</v>
      </c>
      <c r="C245" s="25">
        <v>-1.7413408497466639E-2</v>
      </c>
      <c r="D245" s="25">
        <v>-1.3475691924951468E-3</v>
      </c>
      <c r="E245" s="25">
        <v>3.109327983951847E-2</v>
      </c>
      <c r="F245" s="26">
        <v>1.9800820152314141E-2</v>
      </c>
    </row>
    <row r="246" spans="1:6">
      <c r="A246" s="25">
        <v>2.764213833807478E-2</v>
      </c>
      <c r="B246" s="25">
        <v>1.304005511268576E-2</v>
      </c>
      <c r="C246" s="25">
        <v>-6.2806622618976331E-3</v>
      </c>
      <c r="D246" s="25">
        <v>7.2040091877219577E-3</v>
      </c>
      <c r="E246" s="25">
        <v>2.5596489624279679E-3</v>
      </c>
      <c r="F246" s="26">
        <v>-2.0429243658900507E-2</v>
      </c>
    </row>
    <row r="247" spans="1:6">
      <c r="A247" s="25">
        <v>-9.9630065579284811E-3</v>
      </c>
      <c r="B247" s="25">
        <v>-1.8664047151277013E-3</v>
      </c>
      <c r="C247" s="25">
        <v>2.7699290078762307E-2</v>
      </c>
      <c r="D247" s="25">
        <v>1.52639389442442E-2</v>
      </c>
      <c r="E247" s="25">
        <v>4.7763387526408062E-3</v>
      </c>
      <c r="F247" s="26">
        <v>-9.9988637654813053E-3</v>
      </c>
    </row>
    <row r="248" spans="1:6">
      <c r="A248" s="25">
        <v>-1.6333788198321132E-2</v>
      </c>
      <c r="B248" s="25">
        <v>-1.1861544136203987E-2</v>
      </c>
      <c r="C248" s="25">
        <v>1.9140607424072056E-2</v>
      </c>
      <c r="D248" s="25">
        <v>-7.8350949150760331E-3</v>
      </c>
      <c r="E248" s="25">
        <v>6.3782584581254312E-3</v>
      </c>
      <c r="F248" s="26">
        <v>2.4444185775811995E-2</v>
      </c>
    </row>
    <row r="249" spans="1:6">
      <c r="A249" s="25">
        <v>-1.5630724142141752E-2</v>
      </c>
      <c r="B249" s="25">
        <v>-9.5181325231704032E-3</v>
      </c>
      <c r="C249" s="25">
        <v>1.3165452539637643E-2</v>
      </c>
      <c r="D249" s="25">
        <v>-5.9589148502429898E-3</v>
      </c>
      <c r="E249" s="25">
        <v>-1.2415555961292802E-2</v>
      </c>
      <c r="F249" s="26">
        <v>-3.428507194244601E-2</v>
      </c>
    </row>
    <row r="250" spans="1:6">
      <c r="A250" s="25">
        <v>-1.8733024444799524E-2</v>
      </c>
      <c r="B250" s="25">
        <v>-2.3993844363745454E-2</v>
      </c>
      <c r="C250" s="25">
        <v>-3.3439649610627334E-3</v>
      </c>
      <c r="D250" s="25">
        <v>2.2719982893189352E-2</v>
      </c>
      <c r="E250" s="25">
        <v>6.3389986219569046E-3</v>
      </c>
      <c r="F250" s="26">
        <v>-5.4779206260481732E-3</v>
      </c>
    </row>
    <row r="251" spans="1:6">
      <c r="F251" s="26"/>
    </row>
    <row r="252" spans="1:6">
      <c r="F252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NIFTY50</vt:lpstr>
      <vt:lpstr>Godrej</vt:lpstr>
      <vt:lpstr>AstraZeneca</vt:lpstr>
      <vt:lpstr>Coforge</vt:lpstr>
      <vt:lpstr>Brigade</vt:lpstr>
      <vt:lpstr>GujaratGas</vt:lpstr>
      <vt:lpstr>Covariance and Correlation</vt:lpstr>
      <vt:lpstr>Risk-Free Rate</vt:lpstr>
      <vt:lpstr>Nvidia</vt:lpstr>
      <vt:lpstr>Corr &amp; Cov - 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sahaj jangid</cp:lastModifiedBy>
  <cp:revision/>
  <dcterms:created xsi:type="dcterms:W3CDTF">2025-10-15T10:58:47Z</dcterms:created>
  <dcterms:modified xsi:type="dcterms:W3CDTF">2026-03-01T13:15:13Z</dcterms:modified>
  <cp:category/>
  <cp:contentStatus/>
</cp:coreProperties>
</file>